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9IOS-Student062\Downloads\"/>
    </mc:Choice>
  </mc:AlternateContent>
  <bookViews>
    <workbookView xWindow="0" yWindow="210" windowWidth="28800" windowHeight="11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D2" i="1"/>
  <c r="C2" i="1"/>
  <c r="B3" i="1" l="1"/>
  <c r="H3" i="1" s="1"/>
  <c r="E3" i="1" l="1"/>
  <c r="F3" i="1"/>
  <c r="D3" i="1"/>
  <c r="C3" i="1"/>
  <c r="B4" i="1" l="1"/>
  <c r="D4" i="1" s="1"/>
  <c r="F4" i="1" l="1"/>
  <c r="G4" i="1" s="1"/>
  <c r="C4" i="1"/>
  <c r="E4" i="1"/>
  <c r="H4" i="1"/>
  <c r="B5" i="1" l="1"/>
  <c r="H5" i="1" s="1"/>
  <c r="C5" i="1"/>
  <c r="F5" i="1" l="1"/>
  <c r="G5" i="1" s="1"/>
  <c r="E5" i="1"/>
  <c r="D5" i="1"/>
  <c r="B6" i="1"/>
  <c r="C6" i="1" s="1"/>
  <c r="H6" i="1" l="1"/>
  <c r="D6" i="1"/>
  <c r="F6" i="1"/>
  <c r="G6" i="1" s="1"/>
  <c r="E6" i="1"/>
  <c r="B7" i="1" l="1"/>
  <c r="F7" i="1" s="1"/>
  <c r="G7" i="1" s="1"/>
  <c r="C7" i="1"/>
  <c r="D7" i="1"/>
  <c r="H7" i="1" l="1"/>
  <c r="E7" i="1"/>
  <c r="B8" i="1"/>
  <c r="E8" i="1" l="1"/>
  <c r="H8" i="1"/>
  <c r="F8" i="1"/>
  <c r="G8" i="1" s="1"/>
  <c r="D8" i="1"/>
  <c r="C8" i="1"/>
  <c r="B9" i="1" l="1"/>
  <c r="H9" i="1" s="1"/>
  <c r="F9" i="1" l="1"/>
  <c r="G9" i="1" s="1"/>
  <c r="C9" i="1"/>
  <c r="D9" i="1"/>
  <c r="E9" i="1"/>
  <c r="B10" i="1" l="1"/>
  <c r="F10" i="1" s="1"/>
  <c r="G10" i="1" s="1"/>
  <c r="C10" i="1"/>
  <c r="E10" i="1" l="1"/>
  <c r="H10" i="1"/>
  <c r="D10" i="1"/>
  <c r="B11" i="1" s="1"/>
  <c r="F11" i="1" l="1"/>
  <c r="G11" i="1" s="1"/>
  <c r="H11" i="1"/>
  <c r="C11" i="1"/>
  <c r="D11" i="1"/>
  <c r="E11" i="1"/>
  <c r="B12" i="1" l="1"/>
  <c r="E12" i="1" s="1"/>
  <c r="D12" i="1" l="1"/>
  <c r="H12" i="1"/>
  <c r="F12" i="1"/>
  <c r="G12" i="1" s="1"/>
  <c r="C12" i="1"/>
  <c r="B13" i="1" l="1"/>
  <c r="H13" i="1" s="1"/>
  <c r="F13" i="1" l="1"/>
  <c r="G13" i="1" s="1"/>
  <c r="E13" i="1"/>
  <c r="C13" i="1"/>
  <c r="D13" i="1"/>
  <c r="B14" i="1" s="1"/>
  <c r="H14" i="1" s="1"/>
  <c r="D14" i="1" l="1"/>
  <c r="E14" i="1"/>
  <c r="C14" i="1"/>
  <c r="B15" i="1" s="1"/>
  <c r="C15" i="1" s="1"/>
  <c r="F14" i="1"/>
  <c r="G14" i="1" s="1"/>
  <c r="F15" i="1" l="1"/>
  <c r="G15" i="1" s="1"/>
  <c r="H15" i="1"/>
  <c r="D15" i="1"/>
  <c r="E15" i="1"/>
  <c r="B16" i="1" l="1"/>
  <c r="C16" i="1" s="1"/>
  <c r="D16" i="1" l="1"/>
  <c r="H16" i="1"/>
  <c r="F16" i="1"/>
  <c r="G16" i="1" s="1"/>
  <c r="E16" i="1"/>
  <c r="B17" i="1" l="1"/>
  <c r="H17" i="1" s="1"/>
  <c r="C17" i="1" l="1"/>
  <c r="F17" i="1"/>
  <c r="G17" i="1" s="1"/>
  <c r="D17" i="1"/>
  <c r="E17" i="1"/>
  <c r="B18" i="1" l="1"/>
  <c r="H18" i="1" s="1"/>
  <c r="F18" i="1" l="1"/>
  <c r="G18" i="1" s="1"/>
  <c r="C18" i="1"/>
  <c r="E18" i="1"/>
  <c r="D18" i="1"/>
  <c r="B19" i="1" l="1"/>
  <c r="H19" i="1"/>
  <c r="E19" i="1"/>
  <c r="C19" i="1"/>
  <c r="F19" i="1"/>
  <c r="G19" i="1" s="1"/>
  <c r="D19" i="1"/>
  <c r="B20" i="1" l="1"/>
  <c r="H20" i="1" s="1"/>
  <c r="D20" i="1"/>
  <c r="E20" i="1"/>
  <c r="C20" i="1" l="1"/>
  <c r="F20" i="1"/>
  <c r="G20" i="1" s="1"/>
  <c r="B21" i="1"/>
  <c r="H21" i="1" l="1"/>
  <c r="E21" i="1"/>
  <c r="C21" i="1"/>
  <c r="D21" i="1"/>
  <c r="F21" i="1"/>
  <c r="G21" i="1" s="1"/>
  <c r="B22" i="1" l="1"/>
  <c r="H22" i="1" l="1"/>
  <c r="D22" i="1"/>
  <c r="E22" i="1"/>
  <c r="C22" i="1"/>
  <c r="F22" i="1"/>
  <c r="G22" i="1" s="1"/>
  <c r="B23" i="1" l="1"/>
  <c r="H23" i="1" s="1"/>
  <c r="F23" i="1" l="1"/>
  <c r="G23" i="1" s="1"/>
  <c r="C23" i="1"/>
  <c r="E23" i="1"/>
  <c r="D23" i="1"/>
  <c r="B24" i="1" l="1"/>
  <c r="H24" i="1" s="1"/>
  <c r="C24" i="1"/>
  <c r="D24" i="1"/>
  <c r="F24" i="1"/>
  <c r="G24" i="1" s="1"/>
  <c r="E24" i="1"/>
  <c r="B25" i="1" l="1"/>
  <c r="F25" i="1" s="1"/>
  <c r="G25" i="1" s="1"/>
  <c r="E25" i="1" l="1"/>
  <c r="C25" i="1"/>
  <c r="D25" i="1"/>
  <c r="H25" i="1"/>
  <c r="B26" i="1" l="1"/>
  <c r="C26" i="1" l="1"/>
  <c r="D26" i="1"/>
  <c r="F26" i="1"/>
  <c r="G26" i="1" s="1"/>
  <c r="E26" i="1"/>
  <c r="H26" i="1"/>
  <c r="B27" i="1" l="1"/>
  <c r="D27" i="1"/>
  <c r="E27" i="1"/>
  <c r="B28" i="1" s="1"/>
  <c r="H27" i="1"/>
  <c r="F27" i="1"/>
  <c r="G27" i="1" s="1"/>
  <c r="C27" i="1"/>
  <c r="H28" i="1" l="1"/>
  <c r="D28" i="1"/>
  <c r="E28" i="1"/>
  <c r="C28" i="1"/>
  <c r="F28" i="1"/>
  <c r="G28" i="1" s="1"/>
  <c r="B29" i="1" l="1"/>
  <c r="H29" i="1" s="1"/>
  <c r="F29" i="1"/>
  <c r="G29" i="1" s="1"/>
  <c r="D29" i="1" l="1"/>
  <c r="E29" i="1"/>
  <c r="C29" i="1"/>
  <c r="B30" i="1" l="1"/>
  <c r="F30" i="1" s="1"/>
  <c r="G30" i="1" s="1"/>
  <c r="D30" i="1" l="1"/>
  <c r="H30" i="1"/>
  <c r="E30" i="1"/>
  <c r="C30" i="1"/>
  <c r="B31" i="1" l="1"/>
  <c r="D31" i="1"/>
  <c r="F31" i="1"/>
  <c r="G31" i="1" s="1"/>
  <c r="C31" i="1"/>
  <c r="B32" i="1" s="1"/>
  <c r="E31" i="1"/>
  <c r="H31" i="1"/>
  <c r="E32" i="1" l="1"/>
  <c r="H32" i="1"/>
  <c r="C32" i="1"/>
  <c r="D32" i="1"/>
  <c r="F32" i="1"/>
  <c r="G32" i="1" s="1"/>
  <c r="B33" i="1" l="1"/>
  <c r="E33" i="1" l="1"/>
  <c r="F33" i="1"/>
  <c r="G33" i="1" s="1"/>
  <c r="H33" i="1"/>
  <c r="D33" i="1"/>
  <c r="C33" i="1"/>
  <c r="B34" i="1" l="1"/>
  <c r="F34" i="1" l="1"/>
  <c r="G34" i="1" s="1"/>
  <c r="D34" i="1"/>
  <c r="H34" i="1"/>
  <c r="E34" i="1"/>
  <c r="C34" i="1"/>
  <c r="B35" i="1" l="1"/>
  <c r="C35" i="1"/>
  <c r="E35" i="1"/>
  <c r="F35" i="1"/>
  <c r="G35" i="1" s="1"/>
  <c r="H35" i="1"/>
  <c r="D35" i="1"/>
  <c r="B36" i="1"/>
  <c r="D36" i="1" s="1"/>
  <c r="C36" i="1"/>
  <c r="E36" i="1" l="1"/>
  <c r="B37" i="1" s="1"/>
  <c r="F36" i="1"/>
  <c r="G36" i="1" s="1"/>
  <c r="H36" i="1"/>
  <c r="D37" i="1" l="1"/>
  <c r="C37" i="1"/>
  <c r="E37" i="1"/>
  <c r="B38" i="1"/>
  <c r="F38" i="1" s="1"/>
  <c r="G38" i="1" s="1"/>
  <c r="F37" i="1"/>
  <c r="G37" i="1" s="1"/>
  <c r="H37" i="1"/>
  <c r="C38" i="1" l="1"/>
  <c r="H38" i="1"/>
  <c r="E38" i="1"/>
  <c r="D38" i="1"/>
  <c r="B39" i="1" s="1"/>
  <c r="H39" i="1" s="1"/>
  <c r="E39" i="1" l="1"/>
  <c r="C39" i="1"/>
  <c r="F39" i="1"/>
  <c r="G39" i="1" s="1"/>
  <c r="D39" i="1"/>
  <c r="B40" i="1" l="1"/>
  <c r="F40" i="1"/>
  <c r="G40" i="1" s="1"/>
  <c r="E40" i="1"/>
  <c r="C40" i="1"/>
  <c r="D40" i="1"/>
  <c r="H40" i="1"/>
  <c r="B41" i="1" l="1"/>
  <c r="C41" i="1" l="1"/>
  <c r="D41" i="1"/>
  <c r="E41" i="1"/>
  <c r="F41" i="1"/>
  <c r="G41" i="1" s="1"/>
  <c r="H41" i="1"/>
  <c r="B42" i="1" l="1"/>
  <c r="H42" i="1" s="1"/>
  <c r="D42" i="1"/>
  <c r="E42" i="1" l="1"/>
  <c r="F42" i="1"/>
  <c r="G42" i="1" s="1"/>
  <c r="C42" i="1"/>
  <c r="B43" i="1" l="1"/>
  <c r="E43" i="1" s="1"/>
  <c r="H43" i="1"/>
  <c r="F43" i="1"/>
  <c r="G43" i="1" s="1"/>
  <c r="D43" i="1"/>
  <c r="C43" i="1"/>
  <c r="B44" i="1" l="1"/>
  <c r="F44" i="1"/>
  <c r="G44" i="1" s="1"/>
  <c r="C44" i="1"/>
  <c r="E44" i="1"/>
  <c r="D44" i="1"/>
  <c r="H44" i="1"/>
  <c r="B45" i="1" l="1"/>
  <c r="H45" i="1" l="1"/>
  <c r="D45" i="1"/>
  <c r="F45" i="1"/>
  <c r="G45" i="1" s="1"/>
  <c r="C45" i="1"/>
  <c r="E45" i="1"/>
  <c r="B46" i="1" l="1"/>
  <c r="C46" i="1" s="1"/>
  <c r="F46" i="1" l="1"/>
  <c r="G46" i="1" s="1"/>
  <c r="E46" i="1"/>
  <c r="D46" i="1"/>
  <c r="H46" i="1"/>
  <c r="B47" i="1" l="1"/>
  <c r="E47" i="1" l="1"/>
  <c r="H47" i="1"/>
  <c r="F47" i="1"/>
  <c r="G47" i="1" s="1"/>
  <c r="C47" i="1"/>
  <c r="B48" i="1" s="1"/>
  <c r="F48" i="1" s="1"/>
  <c r="G48" i="1" s="1"/>
  <c r="D47" i="1"/>
  <c r="D48" i="1" l="1"/>
  <c r="C48" i="1"/>
  <c r="H48" i="1"/>
  <c r="E48" i="1"/>
  <c r="B49" i="1" l="1"/>
  <c r="E49" i="1" s="1"/>
  <c r="D49" i="1"/>
  <c r="H49" i="1" l="1"/>
  <c r="C49" i="1"/>
  <c r="B50" i="1" s="1"/>
  <c r="E50" i="1" s="1"/>
  <c r="F49" i="1"/>
  <c r="G49" i="1" s="1"/>
  <c r="C50" i="1"/>
  <c r="D50" i="1"/>
  <c r="H50" i="1"/>
  <c r="F50" i="1"/>
  <c r="G50" i="1" s="1"/>
  <c r="B51" i="1" l="1"/>
  <c r="F51" i="1" l="1"/>
  <c r="G51" i="1" s="1"/>
  <c r="E51" i="1"/>
  <c r="C51" i="1"/>
  <c r="B52" i="1" s="1"/>
  <c r="H51" i="1"/>
  <c r="D51" i="1"/>
  <c r="D52" i="1" l="1"/>
  <c r="F52" i="1"/>
  <c r="G52" i="1" s="1"/>
  <c r="C52" i="1"/>
  <c r="H52" i="1"/>
  <c r="E52" i="1"/>
  <c r="B53" i="1" l="1"/>
  <c r="F53" i="1" s="1"/>
  <c r="G53" i="1" s="1"/>
  <c r="D53" i="1" l="1"/>
  <c r="E53" i="1"/>
  <c r="C53" i="1"/>
  <c r="B54" i="1" s="1"/>
  <c r="H53" i="1"/>
  <c r="F54" i="1" l="1"/>
  <c r="G54" i="1" s="1"/>
  <c r="H54" i="1"/>
  <c r="D54" i="1"/>
  <c r="C54" i="1"/>
  <c r="B55" i="1" s="1"/>
  <c r="C55" i="1" s="1"/>
  <c r="E54" i="1"/>
  <c r="E55" i="1" l="1"/>
  <c r="D55" i="1"/>
  <c r="H55" i="1"/>
  <c r="F55" i="1"/>
  <c r="G55" i="1" s="1"/>
  <c r="B56" i="1" l="1"/>
  <c r="H56" i="1" s="1"/>
  <c r="C56" i="1"/>
  <c r="D56" i="1"/>
  <c r="E56" i="1"/>
  <c r="F56" i="1"/>
  <c r="G56" i="1" s="1"/>
  <c r="B57" i="1" l="1"/>
  <c r="C57" i="1" s="1"/>
  <c r="F57" i="1"/>
  <c r="G57" i="1" s="1"/>
  <c r="D57" i="1"/>
  <c r="E57" i="1"/>
  <c r="H57" i="1"/>
  <c r="B58" i="1" l="1"/>
  <c r="H58" i="1"/>
  <c r="D58" i="1"/>
  <c r="F58" i="1"/>
  <c r="G58" i="1" s="1"/>
  <c r="E58" i="1"/>
  <c r="C58" i="1"/>
  <c r="B59" i="1" l="1"/>
  <c r="D59" i="1" s="1"/>
  <c r="H59" i="1"/>
  <c r="F59" i="1"/>
  <c r="G59" i="1" s="1"/>
  <c r="E59" i="1"/>
  <c r="C59" i="1"/>
  <c r="B60" i="1" l="1"/>
  <c r="H60" i="1"/>
  <c r="E60" i="1"/>
  <c r="C60" i="1"/>
  <c r="B61" i="1" s="1"/>
  <c r="H61" i="1" s="1"/>
  <c r="F60" i="1"/>
  <c r="G60" i="1" s="1"/>
  <c r="D60" i="1"/>
  <c r="C61" i="1" l="1"/>
  <c r="D61" i="1"/>
  <c r="E61" i="1"/>
  <c r="B62" i="1" s="1"/>
  <c r="F61" i="1"/>
  <c r="G61" i="1" s="1"/>
  <c r="H62" i="1" l="1"/>
  <c r="F62" i="1"/>
  <c r="G62" i="1" s="1"/>
  <c r="E62" i="1"/>
  <c r="D62" i="1"/>
  <c r="C62" i="1"/>
  <c r="B63" i="1" l="1"/>
  <c r="H63" i="1" s="1"/>
  <c r="F63" i="1" l="1"/>
  <c r="G63" i="1" s="1"/>
  <c r="C63" i="1"/>
  <c r="E63" i="1"/>
  <c r="D63" i="1"/>
  <c r="B64" i="1" l="1"/>
  <c r="H64" i="1"/>
  <c r="E64" i="1"/>
  <c r="D64" i="1"/>
  <c r="F64" i="1"/>
  <c r="G64" i="1" s="1"/>
  <c r="C64" i="1"/>
  <c r="B65" i="1" l="1"/>
  <c r="H65" i="1" l="1"/>
  <c r="D65" i="1"/>
  <c r="C65" i="1"/>
  <c r="E65" i="1"/>
  <c r="F65" i="1"/>
  <c r="G65" i="1" s="1"/>
  <c r="B66" i="1" l="1"/>
  <c r="H66" i="1" s="1"/>
  <c r="E66" i="1"/>
  <c r="F66" i="1" l="1"/>
  <c r="G66" i="1" s="1"/>
  <c r="C66" i="1"/>
  <c r="D66" i="1"/>
  <c r="B67" i="1" s="1"/>
  <c r="H67" i="1" l="1"/>
  <c r="D67" i="1"/>
  <c r="E67" i="1"/>
  <c r="C67" i="1"/>
  <c r="F67" i="1"/>
  <c r="G67" i="1" s="1"/>
  <c r="B68" i="1" l="1"/>
  <c r="H68" i="1"/>
  <c r="D68" i="1"/>
  <c r="F68" i="1"/>
  <c r="G68" i="1" s="1"/>
  <c r="C68" i="1"/>
  <c r="E68" i="1"/>
  <c r="B69" i="1" l="1"/>
  <c r="H69" i="1" s="1"/>
  <c r="F69" i="1" l="1"/>
  <c r="G69" i="1" s="1"/>
  <c r="D69" i="1"/>
  <c r="C69" i="1"/>
  <c r="E69" i="1"/>
  <c r="B70" i="1" l="1"/>
  <c r="E70" i="1"/>
  <c r="C70" i="1"/>
  <c r="F70" i="1"/>
  <c r="G70" i="1" s="1"/>
  <c r="H70" i="1"/>
  <c r="D70" i="1"/>
  <c r="B71" i="1"/>
  <c r="F71" i="1" s="1"/>
  <c r="E71" i="1"/>
  <c r="H71" i="1" l="1"/>
  <c r="G71" i="1"/>
  <c r="D71" i="1"/>
  <c r="C71" i="1"/>
  <c r="B72" i="1" l="1"/>
  <c r="E72" i="1" s="1"/>
  <c r="F72" i="1"/>
  <c r="G72" i="1" s="1"/>
  <c r="H72" i="1"/>
  <c r="D72" i="1"/>
  <c r="C72" i="1"/>
  <c r="B73" i="1" l="1"/>
  <c r="H73" i="1"/>
  <c r="F73" i="1"/>
  <c r="G73" i="1" s="1"/>
  <c r="D73" i="1"/>
  <c r="C73" i="1"/>
  <c r="E73" i="1"/>
  <c r="B74" i="1" l="1"/>
  <c r="F74" i="1" s="1"/>
  <c r="G74" i="1" s="1"/>
  <c r="C74" i="1"/>
  <c r="E74" i="1"/>
  <c r="D74" i="1"/>
  <c r="H74" i="1"/>
  <c r="B75" i="1" l="1"/>
  <c r="C75" i="1" s="1"/>
  <c r="F75" i="1"/>
  <c r="G75" i="1" s="1"/>
  <c r="H75" i="1"/>
  <c r="E75" i="1"/>
  <c r="D75" i="1"/>
  <c r="B76" i="1" l="1"/>
  <c r="E76" i="1" l="1"/>
  <c r="F76" i="1"/>
  <c r="G76" i="1" s="1"/>
  <c r="C76" i="1"/>
  <c r="D76" i="1"/>
  <c r="H76" i="1"/>
  <c r="B77" i="1" l="1"/>
  <c r="H77" i="1" l="1"/>
  <c r="E77" i="1"/>
  <c r="D77" i="1"/>
  <c r="C77" i="1"/>
  <c r="B78" i="1" s="1"/>
  <c r="F77" i="1"/>
  <c r="G77" i="1" s="1"/>
  <c r="H78" i="1" l="1"/>
  <c r="D78" i="1"/>
  <c r="C78" i="1"/>
  <c r="F78" i="1"/>
  <c r="G78" i="1" s="1"/>
  <c r="E78" i="1"/>
  <c r="B79" i="1" l="1"/>
  <c r="H79" i="1" s="1"/>
  <c r="C79" i="1" l="1"/>
  <c r="E79" i="1"/>
  <c r="D79" i="1"/>
  <c r="B80" i="1" s="1"/>
  <c r="E80" i="1" s="1"/>
  <c r="F79" i="1"/>
  <c r="G79" i="1" s="1"/>
  <c r="H80" i="1" l="1"/>
  <c r="D80" i="1"/>
  <c r="F80" i="1"/>
  <c r="G80" i="1" s="1"/>
  <c r="C80" i="1"/>
  <c r="B81" i="1" s="1"/>
  <c r="E81" i="1" l="1"/>
  <c r="C81" i="1"/>
  <c r="F81" i="1"/>
  <c r="G81" i="1" s="1"/>
  <c r="H81" i="1"/>
  <c r="D81" i="1"/>
  <c r="B82" i="1" l="1"/>
  <c r="H82" i="1" s="1"/>
  <c r="D82" i="1"/>
  <c r="C82" i="1"/>
  <c r="B83" i="1" s="1"/>
  <c r="F82" i="1"/>
  <c r="G82" i="1" s="1"/>
  <c r="E82" i="1"/>
  <c r="H83" i="1" l="1"/>
  <c r="C83" i="1"/>
  <c r="F83" i="1"/>
  <c r="G83" i="1" s="1"/>
  <c r="D83" i="1"/>
  <c r="E83" i="1"/>
  <c r="B84" i="1" l="1"/>
  <c r="H84" i="1" l="1"/>
  <c r="D84" i="1"/>
  <c r="C84" i="1"/>
  <c r="E84" i="1"/>
  <c r="F84" i="1"/>
  <c r="G84" i="1" s="1"/>
  <c r="B85" i="1" l="1"/>
  <c r="H85" i="1" l="1"/>
  <c r="E85" i="1"/>
  <c r="D85" i="1"/>
  <c r="C85" i="1"/>
  <c r="F85" i="1"/>
  <c r="G85" i="1" s="1"/>
  <c r="B86" i="1" l="1"/>
  <c r="F86" i="1" s="1"/>
  <c r="G86" i="1" s="1"/>
  <c r="H86" i="1"/>
  <c r="C86" i="1"/>
  <c r="E86" i="1"/>
  <c r="D86" i="1"/>
  <c r="B87" i="1" l="1"/>
  <c r="F87" i="1" s="1"/>
  <c r="G87" i="1" s="1"/>
  <c r="E87" i="1"/>
  <c r="D87" i="1" l="1"/>
  <c r="C87" i="1"/>
  <c r="H87" i="1"/>
  <c r="B88" i="1"/>
  <c r="C88" i="1" s="1"/>
  <c r="E88" i="1" l="1"/>
  <c r="D88" i="1"/>
  <c r="B89" i="1" s="1"/>
  <c r="F88" i="1"/>
  <c r="G88" i="1" s="1"/>
  <c r="H88" i="1"/>
  <c r="C89" i="1" l="1"/>
  <c r="F89" i="1"/>
  <c r="G89" i="1" s="1"/>
  <c r="E89" i="1"/>
  <c r="B90" i="1" s="1"/>
  <c r="H89" i="1"/>
  <c r="D89" i="1"/>
  <c r="D90" i="1" l="1"/>
  <c r="H90" i="1"/>
  <c r="F90" i="1"/>
  <c r="G90" i="1" s="1"/>
  <c r="E90" i="1"/>
  <c r="C90" i="1"/>
  <c r="B91" i="1" l="1"/>
  <c r="C91" i="1" s="1"/>
  <c r="H91" i="1"/>
  <c r="E91" i="1" l="1"/>
  <c r="D91" i="1"/>
  <c r="F91" i="1"/>
  <c r="G91" i="1" s="1"/>
  <c r="B92" i="1"/>
  <c r="D92" i="1" s="1"/>
  <c r="E92" i="1" l="1"/>
  <c r="H92" i="1"/>
  <c r="F92" i="1"/>
  <c r="G92" i="1" s="1"/>
  <c r="C92" i="1"/>
  <c r="B93" i="1" s="1"/>
  <c r="C93" i="1" s="1"/>
  <c r="H93" i="1" l="1"/>
  <c r="E93" i="1"/>
  <c r="D93" i="1"/>
  <c r="B94" i="1" s="1"/>
  <c r="F93" i="1"/>
  <c r="G93" i="1" s="1"/>
  <c r="D94" i="1" l="1"/>
  <c r="F94" i="1"/>
  <c r="G94" i="1" s="1"/>
  <c r="C94" i="1"/>
  <c r="E94" i="1"/>
  <c r="H94" i="1"/>
  <c r="B95" i="1" l="1"/>
  <c r="C95" i="1"/>
  <c r="E95" i="1"/>
  <c r="F95" i="1"/>
  <c r="G95" i="1" s="1"/>
  <c r="H95" i="1"/>
  <c r="D95" i="1"/>
  <c r="B96" i="1" l="1"/>
  <c r="E96" i="1" s="1"/>
  <c r="D96" i="1"/>
  <c r="C96" i="1" l="1"/>
  <c r="B97" i="1" s="1"/>
  <c r="F96" i="1"/>
  <c r="G96" i="1" s="1"/>
  <c r="H96" i="1"/>
  <c r="F97" i="1" l="1"/>
  <c r="G97" i="1" s="1"/>
  <c r="C97" i="1"/>
  <c r="D97" i="1"/>
  <c r="E97" i="1"/>
  <c r="H97" i="1"/>
  <c r="B98" i="1" l="1"/>
  <c r="H98" i="1"/>
  <c r="F98" i="1"/>
  <c r="G98" i="1" s="1"/>
  <c r="E98" i="1"/>
  <c r="D98" i="1"/>
  <c r="C98" i="1"/>
  <c r="B99" i="1" l="1"/>
  <c r="D99" i="1"/>
  <c r="E99" i="1"/>
  <c r="C99" i="1"/>
  <c r="H99" i="1"/>
  <c r="F99" i="1"/>
  <c r="G99" i="1" s="1"/>
  <c r="B100" i="1" l="1"/>
  <c r="D100" i="1" l="1"/>
  <c r="E100" i="1"/>
  <c r="C100" i="1"/>
  <c r="F100" i="1"/>
  <c r="G100" i="1" s="1"/>
  <c r="H100" i="1"/>
  <c r="B101" i="1" l="1"/>
  <c r="E101" i="1"/>
  <c r="C101" i="1"/>
  <c r="F101" i="1"/>
  <c r="G101" i="1" s="1"/>
  <c r="H101" i="1"/>
  <c r="D101" i="1"/>
  <c r="B102" i="1" l="1"/>
  <c r="D102" i="1" l="1"/>
  <c r="H102" i="1"/>
  <c r="E102" i="1"/>
  <c r="C102" i="1"/>
  <c r="F102" i="1"/>
  <c r="G102" i="1" s="1"/>
  <c r="B103" i="1" l="1"/>
  <c r="E103" i="1" s="1"/>
  <c r="H103" i="1" l="1"/>
  <c r="F103" i="1"/>
  <c r="G103" i="1" s="1"/>
  <c r="C103" i="1"/>
  <c r="D103" i="1"/>
  <c r="B104" i="1" l="1"/>
  <c r="F104" i="1"/>
  <c r="G104" i="1" s="1"/>
  <c r="H104" i="1"/>
  <c r="E104" i="1"/>
  <c r="C104" i="1"/>
  <c r="D104" i="1"/>
  <c r="B105" i="1" l="1"/>
  <c r="H105" i="1" s="1"/>
  <c r="F105" i="1"/>
  <c r="G105" i="1" s="1"/>
  <c r="D105" i="1" l="1"/>
  <c r="E105" i="1"/>
  <c r="C105" i="1"/>
  <c r="B106" i="1" l="1"/>
  <c r="H106" i="1"/>
  <c r="C106" i="1" l="1"/>
  <c r="E106" i="1"/>
  <c r="D106" i="1"/>
  <c r="B107" i="1" s="1"/>
  <c r="F106" i="1"/>
  <c r="G106" i="1" s="1"/>
  <c r="F107" i="1" l="1"/>
  <c r="G107" i="1" s="1"/>
  <c r="D107" i="1"/>
  <c r="H107" i="1"/>
  <c r="C107" i="1"/>
  <c r="B108" i="1" s="1"/>
  <c r="E107" i="1"/>
  <c r="E108" i="1" l="1"/>
  <c r="F108" i="1"/>
  <c r="G108" i="1" s="1"/>
  <c r="H108" i="1"/>
  <c r="D108" i="1"/>
  <c r="B109" i="1" s="1"/>
  <c r="C108" i="1"/>
  <c r="H109" i="1" l="1"/>
  <c r="E109" i="1"/>
  <c r="D109" i="1"/>
  <c r="C109" i="1"/>
  <c r="F109" i="1"/>
  <c r="G109" i="1" s="1"/>
  <c r="B110" i="1" l="1"/>
  <c r="H110" i="1"/>
  <c r="E110" i="1"/>
  <c r="D110" i="1"/>
  <c r="C110" i="1"/>
  <c r="F110" i="1"/>
  <c r="G110" i="1" s="1"/>
  <c r="B111" i="1" l="1"/>
  <c r="D111" i="1"/>
  <c r="H111" i="1"/>
  <c r="F111" i="1"/>
  <c r="G111" i="1" s="1"/>
  <c r="E111" i="1"/>
  <c r="C111" i="1"/>
  <c r="B112" i="1" l="1"/>
  <c r="F112" i="1" l="1"/>
  <c r="G112" i="1" s="1"/>
  <c r="H112" i="1"/>
  <c r="C112" i="1"/>
  <c r="E112" i="1"/>
  <c r="D112" i="1"/>
  <c r="B113" i="1" l="1"/>
  <c r="E113" i="1" s="1"/>
  <c r="H113" i="1"/>
  <c r="D113" i="1"/>
  <c r="C113" i="1" l="1"/>
  <c r="F113" i="1"/>
  <c r="G113" i="1" s="1"/>
  <c r="B114" i="1"/>
  <c r="H114" i="1" l="1"/>
  <c r="C114" i="1"/>
  <c r="D114" i="1"/>
  <c r="E114" i="1"/>
  <c r="F114" i="1"/>
  <c r="G114" i="1" s="1"/>
  <c r="B115" i="1" l="1"/>
  <c r="F115" i="1"/>
  <c r="G115" i="1" s="1"/>
  <c r="E115" i="1"/>
  <c r="D115" i="1"/>
  <c r="B116" i="1" s="1"/>
  <c r="C115" i="1"/>
  <c r="H115" i="1"/>
  <c r="H116" i="1" l="1"/>
  <c r="E116" i="1"/>
  <c r="C116" i="1"/>
  <c r="D116" i="1"/>
  <c r="F116" i="1"/>
  <c r="G116" i="1" s="1"/>
  <c r="B117" i="1" l="1"/>
  <c r="D117" i="1" l="1"/>
  <c r="C117" i="1"/>
  <c r="F117" i="1"/>
  <c r="G117" i="1" s="1"/>
  <c r="E117" i="1"/>
  <c r="H117" i="1"/>
  <c r="B118" i="1" l="1"/>
  <c r="D118" i="1" s="1"/>
  <c r="F118" i="1"/>
  <c r="G118" i="1" s="1"/>
  <c r="E118" i="1"/>
  <c r="C118" i="1"/>
  <c r="H118" i="1"/>
  <c r="B119" i="1" l="1"/>
  <c r="H119" i="1"/>
  <c r="E119" i="1"/>
  <c r="C119" i="1"/>
  <c r="D119" i="1" l="1"/>
  <c r="B120" i="1" s="1"/>
  <c r="F119" i="1"/>
  <c r="G119" i="1" s="1"/>
  <c r="D120" i="1" l="1"/>
  <c r="E120" i="1"/>
  <c r="C120" i="1"/>
  <c r="B121" i="1" s="1"/>
  <c r="D121" i="1" s="1"/>
  <c r="F120" i="1"/>
  <c r="G120" i="1" s="1"/>
  <c r="H120" i="1"/>
  <c r="C121" i="1" l="1"/>
  <c r="H121" i="1"/>
  <c r="E121" i="1"/>
  <c r="B122" i="1" s="1"/>
  <c r="D122" i="1" s="1"/>
  <c r="F121" i="1"/>
  <c r="G121" i="1" s="1"/>
  <c r="C122" i="1" l="1"/>
  <c r="F122" i="1"/>
  <c r="G122" i="1" s="1"/>
  <c r="H122" i="1"/>
  <c r="E122" i="1"/>
</calcChain>
</file>

<file path=xl/sharedStrings.xml><?xml version="1.0" encoding="utf-8"?>
<sst xmlns="http://schemas.openxmlformats.org/spreadsheetml/2006/main" count="11" uniqueCount="11">
  <si>
    <t>Population</t>
  </si>
  <si>
    <t>Budding Growth</t>
  </si>
  <si>
    <t>Hedonist Bonus</t>
  </si>
  <si>
    <t>Difference</t>
  </si>
  <si>
    <t>Months</t>
  </si>
  <si>
    <t>Growth Penalty</t>
  </si>
  <si>
    <t>Growth Requirement Scaling</t>
  </si>
  <si>
    <t>Setting</t>
  </si>
  <si>
    <t>Value</t>
  </si>
  <si>
    <t>Second-Order Difference</t>
  </si>
  <si>
    <t>Quotient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</si>
</sst>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A85" workbookViewId="0">
      <selection activeCell="J15" sqref="J15"/>
    </sheetView>
  </sheetViews>
  <sheetFormatPr defaultRowHeight="14.25"/>
  <cols>
    <col min="1" max="1" width="12" bestFit="1" customWidth="1"/>
    <col min="2" max="2" width="14.375" bestFit="1" customWidth="1"/>
    <col min="3" max="4" width="15" bestFit="1" customWidth="1"/>
    <col min="5" max="5" width="13.375" bestFit="1" customWidth="1"/>
    <col min="6" max="6" width="12" bestFit="1" customWidth="1"/>
    <col min="7" max="7" width="29.875" bestFit="1" customWidth="1"/>
    <col min="8" max="8" width="19.5" bestFit="1" customWidth="1"/>
    <col min="9" max="10" width="24.625" bestFit="1" customWidth="1"/>
    <col min="11" max="11" width="5.375" bestFit="1" customWidth="1"/>
  </cols>
  <sheetData>
    <row r="1" spans="1:11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9</v>
      </c>
      <c r="H1" t="s">
        <v>10</v>
      </c>
    </row>
    <row r="2" spans="1:11">
      <c r="A2">
        <v>0</v>
      </c>
      <c r="B2">
        <v>1000000</v>
      </c>
      <c r="C2">
        <f t="shared" ref="C2:C65" si="0">B2/100*0.02</f>
        <v>200</v>
      </c>
      <c r="D2">
        <f>B2/20000</f>
        <v>50</v>
      </c>
      <c r="E2">
        <f>(B2*$K$3)/(10000+B2*$K$3)</f>
        <v>0.90909090909090906</v>
      </c>
      <c r="J2" t="s">
        <v>7</v>
      </c>
      <c r="K2" t="s">
        <v>8</v>
      </c>
    </row>
    <row r="3" spans="1:11">
      <c r="A3">
        <f>A2+1</f>
        <v>1</v>
      </c>
      <c r="B3">
        <f>B2+C2*(1+D2)*(1-E2)</f>
        <v>1000927.2727272727</v>
      </c>
      <c r="C3">
        <f t="shared" si="0"/>
        <v>200.18545454545458</v>
      </c>
      <c r="D3">
        <f>B3/20000</f>
        <v>50.046363636363637</v>
      </c>
      <c r="E3">
        <f>(B3*$K$3)/(10000+B3*$K$3)</f>
        <v>0.90916747865435754</v>
      </c>
      <c r="F3">
        <f>B3-B2</f>
        <v>927.27272727270611</v>
      </c>
      <c r="H3">
        <f>B3/B2</f>
        <v>1.0009272727272727</v>
      </c>
      <c r="J3" t="s">
        <v>6</v>
      </c>
      <c r="K3">
        <v>0.1</v>
      </c>
    </row>
    <row r="4" spans="1:11">
      <c r="A4">
        <f t="shared" ref="A4:A67" si="1">A3+1</f>
        <v>2</v>
      </c>
      <c r="B4">
        <f>B3+C3*(1+D3)*(1-E3)</f>
        <v>1001855.4666017076</v>
      </c>
      <c r="C4">
        <f t="shared" si="0"/>
        <v>200.37109332034154</v>
      </c>
      <c r="D4">
        <f t="shared" ref="D4:D11" si="2">B4/20000</f>
        <v>50.092773330085379</v>
      </c>
      <c r="E4">
        <f>(B4*$K$3)/(10000+B4*$K$3)</f>
        <v>0.90924399521434929</v>
      </c>
      <c r="F4">
        <f>B4-B3</f>
        <v>928.19387443491723</v>
      </c>
      <c r="G4">
        <f>F4-F3</f>
        <v>0.92114716221112758</v>
      </c>
      <c r="H4">
        <f t="shared" ref="H4:H67" si="3">B4/B3</f>
        <v>1.0009273339829234</v>
      </c>
    </row>
    <row r="5" spans="1:11">
      <c r="A5">
        <f t="shared" si="1"/>
        <v>3</v>
      </c>
      <c r="B5">
        <f>B4+C4*(1+D4)*(1-E4)</f>
        <v>1002784.5825486922</v>
      </c>
      <c r="C5">
        <f t="shared" si="0"/>
        <v>200.55691650973844</v>
      </c>
      <c r="D5">
        <f t="shared" si="2"/>
        <v>50.139229127434611</v>
      </c>
      <c r="E5">
        <f>(B5*$K$3)/(10000+B5*$K$3)</f>
        <v>0.90932045878907219</v>
      </c>
      <c r="F5">
        <f>B5-B4</f>
        <v>929.11594698461704</v>
      </c>
      <c r="G5">
        <f>F5-F4</f>
        <v>0.92207254969980568</v>
      </c>
      <c r="H5">
        <f t="shared" si="3"/>
        <v>1.0009273951961715</v>
      </c>
    </row>
    <row r="6" spans="1:11">
      <c r="A6">
        <f t="shared" si="1"/>
        <v>4</v>
      </c>
      <c r="B6">
        <f>B5+C5*(1+D5)*(1-E5)</f>
        <v>1003714.6214945378</v>
      </c>
      <c r="C6">
        <f t="shared" si="0"/>
        <v>200.74292429890758</v>
      </c>
      <c r="D6">
        <f t="shared" si="2"/>
        <v>50.185731074726888</v>
      </c>
      <c r="E6">
        <f>(B6*$K$3)/(10000+B6*$K$3)</f>
        <v>0.90939686939673758</v>
      </c>
      <c r="F6">
        <f>B6-B5</f>
        <v>930.0389458455611</v>
      </c>
      <c r="G6">
        <f>F6-F5</f>
        <v>0.92299886094406247</v>
      </c>
      <c r="H6">
        <f t="shared" si="3"/>
        <v>1.0009274563670312</v>
      </c>
    </row>
    <row r="7" spans="1:11">
      <c r="A7">
        <f t="shared" si="1"/>
        <v>5</v>
      </c>
      <c r="B7">
        <f>B6+C6*(1+D6)*(1-E6)</f>
        <v>1004645.5843664806</v>
      </c>
      <c r="C7">
        <f t="shared" si="0"/>
        <v>200.92911687329612</v>
      </c>
      <c r="D7">
        <f t="shared" si="2"/>
        <v>50.232279218324031</v>
      </c>
      <c r="E7">
        <f>(B7*$K$3)/(10000+B7*$K$3)</f>
        <v>0.90947322705558054</v>
      </c>
      <c r="F7">
        <f>B7-B6</f>
        <v>930.96287194278557</v>
      </c>
      <c r="G7">
        <f>F7-F6</f>
        <v>0.9239260972244665</v>
      </c>
      <c r="H7">
        <f t="shared" si="3"/>
        <v>1.0009275174955174</v>
      </c>
    </row>
    <row r="8" spans="1:11">
      <c r="A8">
        <f t="shared" si="1"/>
        <v>6</v>
      </c>
      <c r="B8">
        <f>B7+C7*(1+D7)*(1-E7)</f>
        <v>1005577.4720926826</v>
      </c>
      <c r="C8">
        <f t="shared" si="0"/>
        <v>201.11549441853651</v>
      </c>
      <c r="D8">
        <f t="shared" si="2"/>
        <v>50.278873604634128</v>
      </c>
      <c r="E8">
        <f>(B8*$K$3)/(10000+B8*$K$3)</f>
        <v>0.90954953178385967</v>
      </c>
      <c r="F8">
        <f>B8-B7</f>
        <v>931.88772620202508</v>
      </c>
      <c r="G8">
        <f>F8-F7</f>
        <v>0.9248542592395097</v>
      </c>
      <c r="H8">
        <f t="shared" si="3"/>
        <v>1.0009275785816445</v>
      </c>
    </row>
    <row r="9" spans="1:11">
      <c r="A9">
        <f t="shared" si="1"/>
        <v>7</v>
      </c>
      <c r="B9">
        <f>B8+C8*(1+D8)*(1-E8)</f>
        <v>1006510.2856022326</v>
      </c>
      <c r="C9">
        <f t="shared" si="0"/>
        <v>201.30205712044653</v>
      </c>
      <c r="D9">
        <f t="shared" si="2"/>
        <v>50.325514280111626</v>
      </c>
      <c r="E9">
        <f>(B9*$K$3)/(10000+B9*$K$3)</f>
        <v>0.90962578359985724</v>
      </c>
      <c r="F9">
        <f>B9-B8</f>
        <v>932.81350954994559</v>
      </c>
      <c r="G9">
        <f>F9-F8</f>
        <v>0.92578334792051464</v>
      </c>
      <c r="H9">
        <f t="shared" si="3"/>
        <v>1.000927639625427</v>
      </c>
    </row>
    <row r="10" spans="1:11">
      <c r="A10">
        <f t="shared" si="1"/>
        <v>8</v>
      </c>
      <c r="B10">
        <f>B9+C9*(1+D9)*(1-E9)</f>
        <v>1007444.0258251468</v>
      </c>
      <c r="C10">
        <f t="shared" si="0"/>
        <v>201.48880516502936</v>
      </c>
      <c r="D10">
        <f t="shared" si="2"/>
        <v>50.37220129125734</v>
      </c>
      <c r="E10">
        <f>(B10*$K$3)/(10000+B10*$K$3)</f>
        <v>0.90970198252187884</v>
      </c>
      <c r="F10">
        <f>B10-B9</f>
        <v>933.74022291426081</v>
      </c>
      <c r="G10">
        <f>F10-F9</f>
        <v>0.92671336431521922</v>
      </c>
      <c r="H10">
        <f t="shared" si="3"/>
        <v>1.00092770062688</v>
      </c>
    </row>
    <row r="11" spans="1:11">
      <c r="A11">
        <f t="shared" si="1"/>
        <v>9</v>
      </c>
      <c r="B11">
        <f>B10+C10*(1+D10)*(1-E10)</f>
        <v>1008378.6936923702</v>
      </c>
      <c r="C11">
        <f t="shared" si="0"/>
        <v>201.67573873847402</v>
      </c>
      <c r="D11">
        <f t="shared" si="2"/>
        <v>50.418934684618513</v>
      </c>
      <c r="E11">
        <f>(B11*$K$3)/(10000+B11*$K$3)</f>
        <v>0.90977812856825369</v>
      </c>
      <c r="F11">
        <f>B11-B10</f>
        <v>934.66786722338293</v>
      </c>
      <c r="G11">
        <f>F11-F10</f>
        <v>0.92764430912211537</v>
      </c>
      <c r="H11">
        <f t="shared" si="3"/>
        <v>1.0009277615860175</v>
      </c>
    </row>
    <row r="12" spans="1:11">
      <c r="A12">
        <f t="shared" si="1"/>
        <v>10</v>
      </c>
      <c r="B12">
        <f>B11+C11*(1+D11)*(1-E11)</f>
        <v>1009314.2901357771</v>
      </c>
      <c r="C12">
        <f t="shared" si="0"/>
        <v>201.86285802715543</v>
      </c>
      <c r="D12">
        <f t="shared" ref="D12:D33" si="4">B12/20000</f>
        <v>50.465714506788856</v>
      </c>
      <c r="E12">
        <f>(B12*$K$3)/(10000+B12*$K$3)</f>
        <v>0.90985422175733421</v>
      </c>
      <c r="F12">
        <f>B12-B11</f>
        <v>935.59644340688828</v>
      </c>
      <c r="G12">
        <f>F12-F11</f>
        <v>0.92857618350535631</v>
      </c>
      <c r="H12">
        <f t="shared" si="3"/>
        <v>1.0009278225028546</v>
      </c>
    </row>
    <row r="13" spans="1:11">
      <c r="A13">
        <f t="shared" si="1"/>
        <v>11</v>
      </c>
      <c r="B13">
        <f>B12+C12*(1+D12)*(1-E12)</f>
        <v>1010250.8160881723</v>
      </c>
      <c r="C13">
        <f t="shared" si="0"/>
        <v>202.05016321763443</v>
      </c>
      <c r="D13">
        <f t="shared" si="4"/>
        <v>50.512540804408616</v>
      </c>
      <c r="E13">
        <f>(B13*$K$3)/(10000+B13*$K$3)</f>
        <v>0.90993026210749628</v>
      </c>
      <c r="F13">
        <f>B13-B12</f>
        <v>936.52595239516813</v>
      </c>
      <c r="G13">
        <f>F13-F12</f>
        <v>0.92950898827984929</v>
      </c>
      <c r="H13">
        <f t="shared" si="3"/>
        <v>1.0009278833774058</v>
      </c>
    </row>
    <row r="14" spans="1:11">
      <c r="A14">
        <f t="shared" si="1"/>
        <v>12</v>
      </c>
      <c r="B14">
        <f>B13+C13*(1+D13)*(1-E13)</f>
        <v>1011188.2724832918</v>
      </c>
      <c r="C14">
        <f t="shared" si="0"/>
        <v>202.23765449665837</v>
      </c>
      <c r="D14">
        <f t="shared" si="4"/>
        <v>50.559413624164591</v>
      </c>
      <c r="E14">
        <f>(B14*$K$3)/(10000+B14*$K$3)</f>
        <v>0.91000624963713916</v>
      </c>
      <c r="F14">
        <f>B14-B13</f>
        <v>937.45639511954505</v>
      </c>
      <c r="G14">
        <f>F14-F13</f>
        <v>0.93044272437691689</v>
      </c>
      <c r="H14">
        <f t="shared" si="3"/>
        <v>1.0009279442096859</v>
      </c>
    </row>
    <row r="15" spans="1:11">
      <c r="A15">
        <f t="shared" si="1"/>
        <v>13</v>
      </c>
      <c r="B15">
        <f>B14+C14*(1+D14)*(1-E14)</f>
        <v>1012126.6602558041</v>
      </c>
      <c r="C15">
        <f t="shared" si="0"/>
        <v>202.42533205116081</v>
      </c>
      <c r="D15">
        <f t="shared" si="4"/>
        <v>50.606333012790202</v>
      </c>
      <c r="E15">
        <f>(B15*$K$3)/(10000+B15*$K$3)</f>
        <v>0.91008218436468502</v>
      </c>
      <c r="F15">
        <f>B15-B14</f>
        <v>938.38777251227293</v>
      </c>
      <c r="G15">
        <f>F15-F14</f>
        <v>0.93137739272788167</v>
      </c>
      <c r="H15">
        <f t="shared" si="3"/>
        <v>1.0009280049997096</v>
      </c>
    </row>
    <row r="16" spans="1:11">
      <c r="A16">
        <f t="shared" si="1"/>
        <v>14</v>
      </c>
      <c r="B16">
        <f>B15+C15*(1+D15)*(1-E15)</f>
        <v>1013065.9803413107</v>
      </c>
      <c r="C16">
        <f t="shared" si="0"/>
        <v>202.61319606826214</v>
      </c>
      <c r="D16">
        <f t="shared" si="4"/>
        <v>50.653299017065535</v>
      </c>
      <c r="E16">
        <f>(B16*$K$3)/(10000+B16*$K$3)</f>
        <v>0.91015806630857954</v>
      </c>
      <c r="F16">
        <f>B16-B15</f>
        <v>939.32008550665341</v>
      </c>
      <c r="G16">
        <f>F16-F15</f>
        <v>0.93231299438048154</v>
      </c>
      <c r="H16">
        <f t="shared" si="3"/>
        <v>1.0009280657474917</v>
      </c>
    </row>
    <row r="17" spans="1:8">
      <c r="A17">
        <f t="shared" si="1"/>
        <v>15</v>
      </c>
      <c r="B17">
        <f>B16+C16*(1+D16)*(1-E16)</f>
        <v>1014006.2336763473</v>
      </c>
      <c r="C17">
        <f t="shared" si="0"/>
        <v>202.80124673526944</v>
      </c>
      <c r="D17">
        <f t="shared" si="4"/>
        <v>50.700311683817368</v>
      </c>
      <c r="E17">
        <f>(B17*$K$3)/(10000+B17*$K$3)</f>
        <v>0.91023389548729128</v>
      </c>
      <c r="F17">
        <f>B17-B16</f>
        <v>940.25333503657021</v>
      </c>
      <c r="G17">
        <f>F17-F16</f>
        <v>0.93324952991679311</v>
      </c>
      <c r="H17">
        <f t="shared" si="3"/>
        <v>1.0009281264530467</v>
      </c>
    </row>
    <row r="18" spans="1:8">
      <c r="A18">
        <f t="shared" si="1"/>
        <v>16</v>
      </c>
      <c r="B18">
        <f>B17+C17*(1+D17)*(1-E17)</f>
        <v>1014947.4211983847</v>
      </c>
      <c r="C18">
        <f t="shared" si="0"/>
        <v>202.98948423967693</v>
      </c>
      <c r="D18">
        <f t="shared" si="4"/>
        <v>50.747371059919239</v>
      </c>
      <c r="E18">
        <f>(B18*$K$3)/(10000+B18*$K$3)</f>
        <v>0.91030967191931211</v>
      </c>
      <c r="F18">
        <f>B18-B17</f>
        <v>941.18752203742042</v>
      </c>
      <c r="G18">
        <f>F18-F17</f>
        <v>0.93418700085021555</v>
      </c>
      <c r="H18">
        <f t="shared" si="3"/>
        <v>1.00092818711639</v>
      </c>
    </row>
    <row r="19" spans="1:8">
      <c r="A19">
        <f t="shared" si="1"/>
        <v>17</v>
      </c>
      <c r="B19">
        <f>B18+C18*(1+D18)*(1-E18)</f>
        <v>1015889.5438458296</v>
      </c>
      <c r="C19">
        <f t="shared" si="0"/>
        <v>203.17790876916592</v>
      </c>
      <c r="D19">
        <f t="shared" si="4"/>
        <v>50.794477192291481</v>
      </c>
      <c r="E19">
        <f>(B19*$K$3)/(10000+B19*$K$3)</f>
        <v>0.91038539562315679</v>
      </c>
      <c r="F19">
        <f>B19-B18</f>
        <v>942.122647444834</v>
      </c>
      <c r="G19">
        <f>F19-F18</f>
        <v>0.93512540741357952</v>
      </c>
      <c r="H19">
        <f t="shared" si="3"/>
        <v>1.0009282477375354</v>
      </c>
    </row>
    <row r="20" spans="1:8">
      <c r="A20">
        <f t="shared" si="1"/>
        <v>18</v>
      </c>
      <c r="B20">
        <f>B19+C19*(1+D19)*(1-E19)</f>
        <v>1016832.6025580255</v>
      </c>
      <c r="C20">
        <f t="shared" si="0"/>
        <v>203.3665205116051</v>
      </c>
      <c r="D20">
        <f t="shared" si="4"/>
        <v>50.841630127901276</v>
      </c>
      <c r="E20">
        <f>(B20*$K$3)/(10000+B20*$K$3)</f>
        <v>0.91046106661736315</v>
      </c>
      <c r="F20">
        <f>B20-B19</f>
        <v>943.05871219595429</v>
      </c>
      <c r="G20">
        <f>F20-F19</f>
        <v>0.9360647511202842</v>
      </c>
      <c r="H20">
        <f t="shared" si="3"/>
        <v>1.0009283083164986</v>
      </c>
    </row>
    <row r="21" spans="1:8">
      <c r="A21">
        <f t="shared" si="1"/>
        <v>19</v>
      </c>
      <c r="B21">
        <f>B20+C20*(1+D20)*(1-E20)</f>
        <v>1017776.5982752541</v>
      </c>
      <c r="C21">
        <f t="shared" si="0"/>
        <v>203.55531965505085</v>
      </c>
      <c r="D21">
        <f t="shared" si="4"/>
        <v>50.888829913762706</v>
      </c>
      <c r="E21">
        <f>(B21*$K$3)/(10000+B21*$K$3)</f>
        <v>0.91053668492049178</v>
      </c>
      <c r="F21">
        <f>B21-B20</f>
        <v>943.99571722862311</v>
      </c>
      <c r="G21">
        <f>F21-F20</f>
        <v>0.93700503266882151</v>
      </c>
      <c r="H21">
        <f t="shared" si="3"/>
        <v>1.0009283688532939</v>
      </c>
    </row>
    <row r="22" spans="1:8">
      <c r="A22">
        <f t="shared" si="1"/>
        <v>20</v>
      </c>
      <c r="B22">
        <f>B21+C21*(1+D21)*(1-E21)</f>
        <v>1018721.5319387357</v>
      </c>
      <c r="C22">
        <f t="shared" si="0"/>
        <v>203.74430638774717</v>
      </c>
      <c r="D22">
        <f t="shared" si="4"/>
        <v>50.936076596936786</v>
      </c>
      <c r="E22">
        <f>(B22*$K$3)/(10000+B22*$K$3)</f>
        <v>0.91061225055112616</v>
      </c>
      <c r="F22">
        <f>B22-B21</f>
        <v>944.93366348161362</v>
      </c>
      <c r="G22">
        <f>F22-F21</f>
        <v>0.93794625299051404</v>
      </c>
      <c r="H22">
        <f t="shared" si="3"/>
        <v>1.0009284293479364</v>
      </c>
    </row>
    <row r="23" spans="1:8">
      <c r="A23">
        <f t="shared" si="1"/>
        <v>21</v>
      </c>
      <c r="B23">
        <f>B22+C22*(1+D22)*(1-E22)</f>
        <v>1019667.4044906304</v>
      </c>
      <c r="C23">
        <f t="shared" si="0"/>
        <v>203.93348089812608</v>
      </c>
      <c r="D23">
        <f t="shared" si="4"/>
        <v>50.983370224531519</v>
      </c>
      <c r="E23">
        <f>(B23*$K$3)/(10000+B23*$K$3)</f>
        <v>0.91068776352787284</v>
      </c>
      <c r="F23">
        <f>B23-B22</f>
        <v>945.87255189463031</v>
      </c>
      <c r="G23">
        <f>F23-F22</f>
        <v>0.93888841301668435</v>
      </c>
      <c r="H23">
        <f t="shared" si="3"/>
        <v>1.0009284898004409</v>
      </c>
    </row>
    <row r="24" spans="1:8">
      <c r="A24">
        <f t="shared" si="1"/>
        <v>22</v>
      </c>
      <c r="B24">
        <f>B23+C23*(1+D23)*(1-E23)</f>
        <v>1020614.2168740388</v>
      </c>
      <c r="C24">
        <f t="shared" si="0"/>
        <v>204.12284337480776</v>
      </c>
      <c r="D24">
        <f t="shared" si="4"/>
        <v>51.030710843701939</v>
      </c>
      <c r="E24">
        <f>(B24*$K$3)/(10000+B24*$K$3)</f>
        <v>0.91076322386936093</v>
      </c>
      <c r="F24">
        <f>B24-B23</f>
        <v>946.81238340842538</v>
      </c>
      <c r="G24">
        <f>F24-F23</f>
        <v>0.93983151379507035</v>
      </c>
      <c r="H24">
        <f t="shared" si="3"/>
        <v>1.0009285502108223</v>
      </c>
    </row>
    <row r="25" spans="1:8">
      <c r="A25">
        <f t="shared" si="1"/>
        <v>23</v>
      </c>
      <c r="B25">
        <f>B24+C24*(1+D24)*(1-E24)</f>
        <v>1021561.9700330033</v>
      </c>
      <c r="C25">
        <f t="shared" si="0"/>
        <v>204.31239400660067</v>
      </c>
      <c r="D25">
        <f t="shared" si="4"/>
        <v>51.07809850165016</v>
      </c>
      <c r="E25">
        <f>(B25*$K$3)/(10000+B25*$K$3)</f>
        <v>0.91083863159424228</v>
      </c>
      <c r="F25">
        <f>B25-B24</f>
        <v>947.75315896444954</v>
      </c>
      <c r="G25">
        <f>F25-F24</f>
        <v>0.94077555602416396</v>
      </c>
      <c r="H25">
        <f t="shared" si="3"/>
        <v>1.0009286105790955</v>
      </c>
    </row>
    <row r="26" spans="1:8">
      <c r="A26">
        <f t="shared" si="1"/>
        <v>24</v>
      </c>
      <c r="B26">
        <f>B25+C25*(1+D25)*(1-E25)</f>
        <v>1022510.6649125087</v>
      </c>
      <c r="C26">
        <f t="shared" si="0"/>
        <v>204.50213298250176</v>
      </c>
      <c r="D26">
        <f t="shared" si="4"/>
        <v>51.125533245625434</v>
      </c>
      <c r="E26">
        <f>(B26*$K$3)/(10000+B26*$K$3)</f>
        <v>0.91091398672119139</v>
      </c>
      <c r="F26">
        <f>B26-B25</f>
        <v>948.69487950543407</v>
      </c>
      <c r="G26">
        <f>F26-F25</f>
        <v>0.94172054098453373</v>
      </c>
      <c r="H26">
        <f t="shared" si="3"/>
        <v>1.0009286709052754</v>
      </c>
    </row>
    <row r="27" spans="1:8">
      <c r="A27">
        <f t="shared" si="1"/>
        <v>25</v>
      </c>
      <c r="B27">
        <f>B26+C26*(1+D26)*(1-E26)</f>
        <v>1023460.3024584835</v>
      </c>
      <c r="C27">
        <f t="shared" si="0"/>
        <v>204.69206049169668</v>
      </c>
      <c r="D27">
        <f t="shared" si="4"/>
        <v>51.173015122924177</v>
      </c>
      <c r="E27">
        <f>(B27*$K$3)/(10000+B27*$K$3)</f>
        <v>0.91098928926890554</v>
      </c>
      <c r="F27">
        <f>B27-B26</f>
        <v>949.63754597480875</v>
      </c>
      <c r="G27">
        <f>F27-F26</f>
        <v>0.94266646937467158</v>
      </c>
      <c r="H27">
        <f t="shared" si="3"/>
        <v>1.0009287311893769</v>
      </c>
    </row>
    <row r="28" spans="1:8">
      <c r="A28">
        <f t="shared" si="1"/>
        <v>26</v>
      </c>
      <c r="B28">
        <f>B27+C27*(1+D27)*(1-E27)</f>
        <v>1024410.8836178004</v>
      </c>
      <c r="C28">
        <f t="shared" si="0"/>
        <v>204.88217672356009</v>
      </c>
      <c r="D28">
        <f t="shared" si="4"/>
        <v>51.220544180890023</v>
      </c>
      <c r="E28">
        <f>(B28*$K$3)/(10000+B28*$K$3)</f>
        <v>0.91106453925610431</v>
      </c>
      <c r="F28">
        <f>B28-B27</f>
        <v>950.58115931693465</v>
      </c>
      <c r="G28">
        <f>F28-F27</f>
        <v>0.94361334212590009</v>
      </c>
      <c r="H28">
        <f t="shared" si="3"/>
        <v>1.0009287914314151</v>
      </c>
    </row>
    <row r="29" spans="1:8">
      <c r="A29">
        <f t="shared" si="1"/>
        <v>27</v>
      </c>
      <c r="B29">
        <f>B28+C28*(1+D28)*(1-E28)</f>
        <v>1025362.4093382778</v>
      </c>
      <c r="C29">
        <f t="shared" si="0"/>
        <v>205.07248186765557</v>
      </c>
      <c r="D29">
        <f t="shared" si="4"/>
        <v>51.268120466913885</v>
      </c>
      <c r="E29">
        <f>(B29*$K$3)/(10000+B29*$K$3)</f>
        <v>0.91113973670152992</v>
      </c>
      <c r="F29">
        <f>B29-B28</f>
        <v>951.52572047733702</v>
      </c>
      <c r="G29">
        <f>F29-F28</f>
        <v>0.94456116040237248</v>
      </c>
      <c r="H29">
        <f t="shared" si="3"/>
        <v>1.000928851631405</v>
      </c>
    </row>
    <row r="30" spans="1:8">
      <c r="A30">
        <f t="shared" si="1"/>
        <v>28</v>
      </c>
      <c r="B30">
        <f>B29+C29*(1+D29)*(1-E29)</f>
        <v>1026314.8805686799</v>
      </c>
      <c r="C30">
        <f t="shared" si="0"/>
        <v>205.26297611373596</v>
      </c>
      <c r="D30">
        <f t="shared" si="4"/>
        <v>51.315744028433997</v>
      </c>
      <c r="E30">
        <f>(B30*$K$3)/(10000+B30*$K$3)</f>
        <v>0.91121488162394726</v>
      </c>
      <c r="F30">
        <f>B30-B29</f>
        <v>952.47123040212318</v>
      </c>
      <c r="G30">
        <f>F30-F29</f>
        <v>0.94550992478616536</v>
      </c>
      <c r="H30">
        <f t="shared" si="3"/>
        <v>1.0009289117893612</v>
      </c>
    </row>
    <row r="31" spans="1:8">
      <c r="A31">
        <f t="shared" si="1"/>
        <v>29</v>
      </c>
      <c r="B31">
        <f>B30+C30*(1+D30)*(1-E30)</f>
        <v>1027268.2982587187</v>
      </c>
      <c r="C31">
        <f t="shared" si="0"/>
        <v>205.45365965174372</v>
      </c>
      <c r="D31">
        <f t="shared" si="4"/>
        <v>51.363414912935937</v>
      </c>
      <c r="E31">
        <f>(B31*$K$3)/(10000+B31*$K$3)</f>
        <v>0.91128997404214318</v>
      </c>
      <c r="F31">
        <f>B31-B30</f>
        <v>953.41769003879745</v>
      </c>
      <c r="G31">
        <f>F31-F30</f>
        <v>0.94645963667426258</v>
      </c>
      <c r="H31">
        <f t="shared" si="3"/>
        <v>1.0009289719052992</v>
      </c>
    </row>
    <row r="32" spans="1:8">
      <c r="A32">
        <f t="shared" si="1"/>
        <v>30</v>
      </c>
      <c r="B32">
        <f>B31+C31*(1+D31)*(1-E31)</f>
        <v>1028222.663359054</v>
      </c>
      <c r="C32">
        <f t="shared" si="0"/>
        <v>205.64453267181082</v>
      </c>
      <c r="D32">
        <f t="shared" si="4"/>
        <v>51.411133167952698</v>
      </c>
      <c r="E32">
        <f>(B32*$K$3)/(10000+B32*$K$3)</f>
        <v>0.91136501397492731</v>
      </c>
      <c r="F32">
        <f>B32-B31</f>
        <v>954.36510033532977</v>
      </c>
      <c r="G32">
        <f>F32-F31</f>
        <v>0.94741029653232545</v>
      </c>
      <c r="H32">
        <f t="shared" si="3"/>
        <v>1.0009290319792337</v>
      </c>
    </row>
    <row r="33" spans="1:8">
      <c r="A33">
        <f t="shared" si="1"/>
        <v>31</v>
      </c>
      <c r="B33">
        <f>B32+C32*(1+D32)*(1-E32)</f>
        <v>1029177.9768212951</v>
      </c>
      <c r="C33">
        <f t="shared" si="0"/>
        <v>205.83559536425904</v>
      </c>
      <c r="D33">
        <f t="shared" si="4"/>
        <v>51.458898841064752</v>
      </c>
      <c r="E33">
        <f>(B33*$K$3)/(10000+B33*$K$3)</f>
        <v>0.91144000144113146</v>
      </c>
      <c r="F33">
        <f>B33-B32</f>
        <v>955.31346224108711</v>
      </c>
      <c r="G33">
        <f>F33-F32</f>
        <v>0.94836190575733781</v>
      </c>
      <c r="H33">
        <f t="shared" si="3"/>
        <v>1.00092909201118</v>
      </c>
    </row>
    <row r="34" spans="1:8">
      <c r="A34">
        <f t="shared" si="1"/>
        <v>32</v>
      </c>
      <c r="B34">
        <f>B33+C33*(1+D33)*(1-E33)</f>
        <v>1030134.2395980011</v>
      </c>
      <c r="C34">
        <f t="shared" si="0"/>
        <v>206.02684791960021</v>
      </c>
      <c r="D34">
        <f>B34/20000</f>
        <v>51.506711979900054</v>
      </c>
      <c r="E34">
        <f>(B34*$K$3)/(10000+B34*$K$3)</f>
        <v>0.91151493645960957</v>
      </c>
      <c r="F34">
        <f>B34-B33</f>
        <v>956.26277670601849</v>
      </c>
      <c r="G34">
        <f>F34-F33</f>
        <v>0.94931446493137628</v>
      </c>
      <c r="H34">
        <f t="shared" si="3"/>
        <v>1.000929152001153</v>
      </c>
    </row>
    <row r="35" spans="1:8">
      <c r="A35">
        <f t="shared" si="1"/>
        <v>33</v>
      </c>
      <c r="B35">
        <f>B34+C34*(1+D34)*(1-E34)</f>
        <v>1031091.4526426824</v>
      </c>
      <c r="C35">
        <f t="shared" si="0"/>
        <v>206.21829052853647</v>
      </c>
      <c r="D35">
        <f>B35/20000</f>
        <v>51.554572632134118</v>
      </c>
      <c r="E35">
        <f>(B35*$K$3)/(10000+B35*$K$3)</f>
        <v>0.91158981904923786</v>
      </c>
      <c r="F35">
        <f>B35-B34</f>
        <v>957.21304468123708</v>
      </c>
      <c r="G35">
        <f>F35-F34</f>
        <v>0.95026797521859407</v>
      </c>
      <c r="H35">
        <f t="shared" si="3"/>
        <v>1.0009292119491677</v>
      </c>
    </row>
    <row r="36" spans="1:8">
      <c r="A36">
        <f t="shared" si="1"/>
        <v>34</v>
      </c>
      <c r="B36">
        <f>B35+C35*(1+D35)*(1-E35)</f>
        <v>1032049.6169098011</v>
      </c>
      <c r="C36">
        <f t="shared" si="0"/>
        <v>206.40992338196023</v>
      </c>
      <c r="D36">
        <f>B36/20000</f>
        <v>51.602480845490057</v>
      </c>
      <c r="E36">
        <f>(B36*$K$3)/(10000+B36*$K$3)</f>
        <v>0.91166464922891477</v>
      </c>
      <c r="F36">
        <f>B36-B35</f>
        <v>958.16426711878739</v>
      </c>
      <c r="G36">
        <f>F36-F35</f>
        <v>0.95122243755031377</v>
      </c>
      <c r="H36">
        <f t="shared" si="3"/>
        <v>1.0009292718552394</v>
      </c>
    </row>
    <row r="37" spans="1:8">
      <c r="A37">
        <f t="shared" si="1"/>
        <v>35</v>
      </c>
      <c r="B37">
        <f>B36+C36*(1+D36)*(1-E36)</f>
        <v>1033008.7333547727</v>
      </c>
      <c r="C37">
        <f t="shared" si="0"/>
        <v>206.60174667095453</v>
      </c>
      <c r="D37">
        <f>B37/20000</f>
        <v>51.650436667738632</v>
      </c>
      <c r="E37">
        <f>(B37*$K$3)/(10000+B37*$K$3)</f>
        <v>0.91173942701756072</v>
      </c>
      <c r="F37">
        <f>B37-B36</f>
        <v>959.11644497152884</v>
      </c>
      <c r="G37">
        <f>F37-F36</f>
        <v>0.95217785274144262</v>
      </c>
      <c r="H37">
        <f t="shared" si="3"/>
        <v>1.0009293317193833</v>
      </c>
    </row>
    <row r="38" spans="1:8">
      <c r="A38">
        <f t="shared" si="1"/>
        <v>36</v>
      </c>
      <c r="B38">
        <f>B37+C37*(1+D37)*(1-E37)</f>
        <v>1033968.802933966</v>
      </c>
      <c r="C38">
        <f t="shared" si="0"/>
        <v>206.79376058679321</v>
      </c>
      <c r="D38">
        <f t="shared" ref="D38:D73" si="5">B38/20000</f>
        <v>51.698440146698303</v>
      </c>
      <c r="E38">
        <f>(B38*$K$3)/(10000+B38*$K$3)</f>
        <v>0.91181415243411834</v>
      </c>
      <c r="F38">
        <f>B38-B37</f>
        <v>960.06957919336855</v>
      </c>
      <c r="G38">
        <f>F38-F37</f>
        <v>0.95313422183971852</v>
      </c>
      <c r="H38">
        <f t="shared" si="3"/>
        <v>1.000929391541614</v>
      </c>
    </row>
    <row r="39" spans="1:8">
      <c r="A39">
        <f t="shared" si="1"/>
        <v>37</v>
      </c>
      <c r="B39">
        <f>B38+C38*(1+D38)*(1-E38)</f>
        <v>1034929.8266047053</v>
      </c>
      <c r="C39">
        <f t="shared" si="0"/>
        <v>206.98596532094106</v>
      </c>
      <c r="D39">
        <f t="shared" si="5"/>
        <v>51.746491330235266</v>
      </c>
      <c r="E39">
        <f>(B39*$K$3)/(10000+B39*$K$3)</f>
        <v>0.91188882549755224</v>
      </c>
      <c r="F39">
        <f>B39-B38</f>
        <v>961.02367073926143</v>
      </c>
      <c r="G39">
        <f>F39-F38</f>
        <v>0.95409154589287937</v>
      </c>
      <c r="H39">
        <f t="shared" si="3"/>
        <v>1.0009294513219473</v>
      </c>
    </row>
    <row r="40" spans="1:8">
      <c r="A40">
        <f t="shared" si="1"/>
        <v>38</v>
      </c>
      <c r="B40">
        <f>B39+C39*(1+D39)*(1-E39)</f>
        <v>1035891.8053252702</v>
      </c>
      <c r="C40">
        <f t="shared" si="0"/>
        <v>207.17836106505405</v>
      </c>
      <c r="D40">
        <f t="shared" si="5"/>
        <v>51.794590266263505</v>
      </c>
      <c r="E40">
        <f>(B40*$K$3)/(10000+B40*$K$3)</f>
        <v>0.91196344622684877</v>
      </c>
      <c r="F40">
        <f>B40-B39</f>
        <v>961.97872056486085</v>
      </c>
      <c r="G40">
        <f>F40-F39</f>
        <v>0.95504982559941709</v>
      </c>
      <c r="H40">
        <f t="shared" si="3"/>
        <v>1.000929511060398</v>
      </c>
    </row>
    <row r="41" spans="1:8">
      <c r="A41">
        <f t="shared" si="1"/>
        <v>39</v>
      </c>
      <c r="B41">
        <f>B40+C40*(1+D40)*(1-E40)</f>
        <v>1036854.7400548973</v>
      </c>
      <c r="C41">
        <f t="shared" si="0"/>
        <v>207.37094801097945</v>
      </c>
      <c r="D41">
        <f t="shared" si="5"/>
        <v>51.842737002744862</v>
      </c>
      <c r="E41">
        <f>(B41*$K$3)/(10000+B41*$K$3)</f>
        <v>0.91203801464101641</v>
      </c>
      <c r="F41">
        <f>B41-B40</f>
        <v>962.93472962710075</v>
      </c>
      <c r="G41">
        <f>F41-F40</f>
        <v>0.95600906223990023</v>
      </c>
      <c r="H41">
        <f t="shared" si="3"/>
        <v>1.0009295707569814</v>
      </c>
    </row>
    <row r="42" spans="1:8">
      <c r="A42">
        <f t="shared" si="1"/>
        <v>40</v>
      </c>
      <c r="B42">
        <f>B41+C41*(1+D41)*(1-E41)</f>
        <v>1037818.6317537809</v>
      </c>
      <c r="C42">
        <f t="shared" si="0"/>
        <v>207.56372635075618</v>
      </c>
      <c r="D42">
        <f t="shared" si="5"/>
        <v>51.890931587689046</v>
      </c>
      <c r="E42">
        <f>(B42*$K$3)/(10000+B42*$K$3)</f>
        <v>0.91211253075908538</v>
      </c>
      <c r="F42">
        <f>B42-B41</f>
        <v>963.89169888361357</v>
      </c>
      <c r="G42">
        <f>F42-F41</f>
        <v>0.95696925651282072</v>
      </c>
      <c r="H42">
        <f t="shared" si="3"/>
        <v>1.0009296304117128</v>
      </c>
    </row>
    <row r="43" spans="1:8">
      <c r="A43">
        <f t="shared" si="1"/>
        <v>41</v>
      </c>
      <c r="B43">
        <f>B42+C42*(1+D42)*(1-E42)</f>
        <v>1038783.481383074</v>
      </c>
      <c r="C43">
        <f t="shared" si="0"/>
        <v>207.75669627661478</v>
      </c>
      <c r="D43">
        <f t="shared" si="5"/>
        <v>51.939174069153701</v>
      </c>
      <c r="E43">
        <f>(B43*$K$3)/(10000+B43*$K$3)</f>
        <v>0.91218699460010777</v>
      </c>
      <c r="F43">
        <f>B43-B42</f>
        <v>964.84962929307949</v>
      </c>
      <c r="G43">
        <f>F43-F42</f>
        <v>0.95793040946591645</v>
      </c>
      <c r="H43">
        <f t="shared" si="3"/>
        <v>1.0009296900246072</v>
      </c>
    </row>
    <row r="44" spans="1:8">
      <c r="A44">
        <f t="shared" si="1"/>
        <v>42</v>
      </c>
      <c r="B44">
        <f>B43+C43*(1+D43)*(1-E43)</f>
        <v>1039749.2899048891</v>
      </c>
      <c r="C44">
        <f t="shared" si="0"/>
        <v>207.94985798097784</v>
      </c>
      <c r="D44">
        <f t="shared" si="5"/>
        <v>51.987464495244453</v>
      </c>
      <c r="E44">
        <f>(B44*$K$3)/(10000+B44*$K$3)</f>
        <v>0.91226140618315732</v>
      </c>
      <c r="F44">
        <f>B44-B43</f>
        <v>965.80852181511</v>
      </c>
      <c r="G44">
        <f>F44-F43</f>
        <v>0.95889252203051001</v>
      </c>
      <c r="H44">
        <f t="shared" si="3"/>
        <v>1.0009297495956802</v>
      </c>
    </row>
    <row r="45" spans="1:8">
      <c r="A45">
        <f t="shared" si="1"/>
        <v>43</v>
      </c>
      <c r="B45">
        <f>B44+C44*(1+D44)*(1-E44)</f>
        <v>1040716.0582822993</v>
      </c>
      <c r="C45">
        <f t="shared" si="0"/>
        <v>208.14321165645987</v>
      </c>
      <c r="D45">
        <f t="shared" si="5"/>
        <v>52.035802914114967</v>
      </c>
      <c r="E45">
        <f>(B45*$K$3)/(10000+B45*$K$3)</f>
        <v>0.91233576552732942</v>
      </c>
      <c r="F45">
        <f>B45-B44</f>
        <v>966.76837741024792</v>
      </c>
      <c r="G45">
        <f>F45-F44</f>
        <v>0.95985559513792396</v>
      </c>
      <c r="H45">
        <f t="shared" si="3"/>
        <v>1.0009298091249466</v>
      </c>
    </row>
    <row r="46" spans="1:8">
      <c r="A46">
        <f t="shared" si="1"/>
        <v>44</v>
      </c>
      <c r="B46">
        <f>B45+C45*(1+D45)*(1-E45)</f>
        <v>1041683.7874793394</v>
      </c>
      <c r="C46">
        <f t="shared" si="0"/>
        <v>208.33675749586791</v>
      </c>
      <c r="D46">
        <f t="shared" si="5"/>
        <v>52.084189373966971</v>
      </c>
      <c r="E46">
        <f>(B46*$K$3)/(10000+B46*$K$3)</f>
        <v>0.91241007265174146</v>
      </c>
      <c r="F46">
        <f>B46-B45</f>
        <v>967.72919704008382</v>
      </c>
      <c r="G46">
        <f>F46-F45</f>
        <v>0.96081962983589619</v>
      </c>
      <c r="H46">
        <f t="shared" si="3"/>
        <v>1.0009298686124217</v>
      </c>
    </row>
    <row r="47" spans="1:8">
      <c r="A47">
        <f t="shared" si="1"/>
        <v>45</v>
      </c>
      <c r="B47">
        <f>B46+C46*(1+D46)*(1-E46)</f>
        <v>1042652.4784610067</v>
      </c>
      <c r="C47">
        <f t="shared" si="0"/>
        <v>208.53049569220133</v>
      </c>
      <c r="D47">
        <f t="shared" si="5"/>
        <v>52.132623923050332</v>
      </c>
      <c r="E47">
        <f>(B47*$K$3)/(10000+B47*$K$3)</f>
        <v>0.91248432757553199</v>
      </c>
      <c r="F47">
        <f>B47-B46</f>
        <v>968.69098166725598</v>
      </c>
      <c r="G47">
        <f>F47-F46</f>
        <v>0.96178462717216462</v>
      </c>
      <c r="H47">
        <f t="shared" si="3"/>
        <v>1.0009299280581214</v>
      </c>
    </row>
    <row r="48" spans="1:8">
      <c r="A48">
        <f t="shared" si="1"/>
        <v>46</v>
      </c>
      <c r="B48">
        <f>B47+C47*(1+D47)*(1-E47)</f>
        <v>1043622.1321932616</v>
      </c>
      <c r="C48">
        <f t="shared" si="0"/>
        <v>208.72442643865233</v>
      </c>
      <c r="D48">
        <f t="shared" si="5"/>
        <v>52.181106609663082</v>
      </c>
      <c r="E48">
        <f>(B48*$K$3)/(10000+B48*$K$3)</f>
        <v>0.91255853031786127</v>
      </c>
      <c r="F48">
        <f>B48-B47</f>
        <v>969.65373225498479</v>
      </c>
      <c r="G48">
        <f>F48-F47</f>
        <v>0.96275058772880584</v>
      </c>
      <c r="H48">
        <f t="shared" si="3"/>
        <v>1.0009299874620605</v>
      </c>
    </row>
    <row r="49" spans="1:8">
      <c r="A49">
        <f t="shared" si="1"/>
        <v>47</v>
      </c>
      <c r="B49">
        <f>B48+C48*(1+D48)*(1-E48)</f>
        <v>1044592.7496430295</v>
      </c>
      <c r="C49">
        <f t="shared" si="0"/>
        <v>208.9185499286059</v>
      </c>
      <c r="D49">
        <f t="shared" si="5"/>
        <v>52.229637482151475</v>
      </c>
      <c r="E49">
        <f>(B49*$K$3)/(10000+B49*$K$3)</f>
        <v>0.91263268089791105</v>
      </c>
      <c r="F49">
        <f>B49-B48</f>
        <v>970.61744976788759</v>
      </c>
      <c r="G49">
        <f>F49-F48</f>
        <v>0.96371751290280372</v>
      </c>
      <c r="H49">
        <f t="shared" si="3"/>
        <v>1.0009300468242543</v>
      </c>
    </row>
    <row r="50" spans="1:8">
      <c r="A50">
        <f t="shared" si="1"/>
        <v>48</v>
      </c>
      <c r="B50">
        <f>B49+C49*(1+D49)*(1-E49)</f>
        <v>1045564.3317782007</v>
      </c>
      <c r="C50">
        <f t="shared" si="0"/>
        <v>209.11286635564014</v>
      </c>
      <c r="D50">
        <f t="shared" si="5"/>
        <v>52.278216588910034</v>
      </c>
      <c r="E50">
        <f>(B50*$K$3)/(10000+B50*$K$3)</f>
        <v>0.91270677933488453</v>
      </c>
      <c r="F50">
        <f>B50-B49</f>
        <v>971.58213517116383</v>
      </c>
      <c r="G50">
        <f>F50-F49</f>
        <v>0.96468540327623487</v>
      </c>
      <c r="H50">
        <f t="shared" si="3"/>
        <v>1.0009301061447182</v>
      </c>
    </row>
    <row r="51" spans="1:8">
      <c r="A51">
        <f t="shared" si="1"/>
        <v>49</v>
      </c>
      <c r="B51">
        <f>B50+C50*(1+D50)*(1-E50)</f>
        <v>1046536.8795676321</v>
      </c>
      <c r="C51">
        <f t="shared" si="0"/>
        <v>209.30737591352641</v>
      </c>
      <c r="D51">
        <f t="shared" si="5"/>
        <v>52.326843978381604</v>
      </c>
      <c r="E51">
        <f>(B51*$K$3)/(10000+B51*$K$3)</f>
        <v>0.91278082564800644</v>
      </c>
      <c r="F51">
        <f>B51-B50</f>
        <v>972.54778943140991</v>
      </c>
      <c r="G51">
        <f>F51-F50</f>
        <v>0.96565426024608314</v>
      </c>
      <c r="H51">
        <f t="shared" si="3"/>
        <v>1.0009301654234679</v>
      </c>
    </row>
    <row r="52" spans="1:8">
      <c r="A52">
        <f t="shared" si="1"/>
        <v>50</v>
      </c>
      <c r="B52">
        <f>B51+C51*(1+D51)*(1-E51)</f>
        <v>1047510.3939811479</v>
      </c>
      <c r="C52">
        <f t="shared" si="0"/>
        <v>209.5020787962296</v>
      </c>
      <c r="D52">
        <f t="shared" si="5"/>
        <v>52.375519699057392</v>
      </c>
      <c r="E52">
        <f>(B52*$K$3)/(10000+B52*$K$3)</f>
        <v>0.9128548198565225</v>
      </c>
      <c r="F52">
        <f>B52-B51</f>
        <v>973.51441351580434</v>
      </c>
      <c r="G52">
        <f>F52-F51</f>
        <v>0.96662408439442515</v>
      </c>
      <c r="H52">
        <f t="shared" si="3"/>
        <v>1.0009302246605185</v>
      </c>
    </row>
    <row r="53" spans="1:8">
      <c r="A53">
        <f t="shared" si="1"/>
        <v>51</v>
      </c>
      <c r="B53">
        <f>B52+C52*(1+D52)*(1-E52)</f>
        <v>1048484.8759895405</v>
      </c>
      <c r="C53">
        <f t="shared" si="0"/>
        <v>209.6969751979081</v>
      </c>
      <c r="D53">
        <f t="shared" si="5"/>
        <v>52.424243799477026</v>
      </c>
      <c r="E53">
        <f>(B53*$K$3)/(10000+B53*$K$3)</f>
        <v>0.91292876197969997</v>
      </c>
      <c r="F53">
        <f>B53-B52</f>
        <v>974.48200839257333</v>
      </c>
      <c r="G53">
        <f>F53-F52</f>
        <v>0.9675948767689988</v>
      </c>
      <c r="H53">
        <f t="shared" si="3"/>
        <v>1.0009302838558851</v>
      </c>
    </row>
    <row r="54" spans="1:8">
      <c r="A54">
        <f t="shared" si="1"/>
        <v>52</v>
      </c>
      <c r="B54">
        <f>B53+C53*(1+D53)*(1-E53)</f>
        <v>1049460.3265645716</v>
      </c>
      <c r="C54">
        <f t="shared" si="0"/>
        <v>209.89206531291433</v>
      </c>
      <c r="D54">
        <f t="shared" si="5"/>
        <v>52.473016328228582</v>
      </c>
      <c r="E54">
        <f>(B54*$K$3)/(10000+B54*$K$3)</f>
        <v>0.9130026520368274</v>
      </c>
      <c r="F54">
        <f>B54-B53</f>
        <v>975.45057503110729</v>
      </c>
      <c r="G54">
        <f>F54-F53</f>
        <v>0.9685666385339573</v>
      </c>
      <c r="H54">
        <f t="shared" si="3"/>
        <v>1.0009303430095837</v>
      </c>
    </row>
    <row r="55" spans="1:8">
      <c r="A55">
        <f t="shared" si="1"/>
        <v>53</v>
      </c>
      <c r="B55">
        <f>B54+C54*(1+D54)*(1-E54)</f>
        <v>1050436.7466789733</v>
      </c>
      <c r="C55">
        <f t="shared" si="0"/>
        <v>210.08734933579467</v>
      </c>
      <c r="D55">
        <f t="shared" si="5"/>
        <v>52.521837333948667</v>
      </c>
      <c r="E55">
        <f>(B55*$K$3)/(10000+B55*$K$3)</f>
        <v>0.91307649004721447</v>
      </c>
      <c r="F55">
        <f>B55-B54</f>
        <v>976.42011440172791</v>
      </c>
      <c r="G55">
        <f>F55-F54</f>
        <v>0.96953937062062323</v>
      </c>
      <c r="H55">
        <f t="shared" si="3"/>
        <v>1.0009304021216296</v>
      </c>
    </row>
    <row r="56" spans="1:8">
      <c r="A56">
        <f t="shared" si="1"/>
        <v>54</v>
      </c>
      <c r="B56">
        <f>B55+C55*(1+D55)*(1-E55)</f>
        <v>1051414.1373064485</v>
      </c>
      <c r="C56">
        <f t="shared" si="0"/>
        <v>210.28282746128971</v>
      </c>
      <c r="D56">
        <f t="shared" si="5"/>
        <v>52.570706865322428</v>
      </c>
      <c r="E56">
        <f>(B56*$K$3)/(10000+B56*$K$3)</f>
        <v>0.91315027603019172</v>
      </c>
      <c r="F56">
        <f>B56-B55</f>
        <v>977.39062747522257</v>
      </c>
      <c r="G56">
        <f>F56-F55</f>
        <v>0.97051307349465787</v>
      </c>
      <c r="H56">
        <f t="shared" si="3"/>
        <v>1.0009304611920378</v>
      </c>
    </row>
    <row r="57" spans="1:8">
      <c r="A57">
        <f t="shared" si="1"/>
        <v>55</v>
      </c>
      <c r="B57">
        <f>B56+C56*(1+D56)*(1-E56)</f>
        <v>1052392.4994216727</v>
      </c>
      <c r="C57">
        <f t="shared" si="0"/>
        <v>210.47849988433452</v>
      </c>
      <c r="D57">
        <f t="shared" si="5"/>
        <v>52.619624971083631</v>
      </c>
      <c r="E57">
        <f>(B57*$K$3)/(10000+B57*$K$3)</f>
        <v>0.91322401000511122</v>
      </c>
      <c r="F57">
        <f>B57-B56</f>
        <v>978.36211522412486</v>
      </c>
      <c r="G57">
        <f>F57-F56</f>
        <v>0.97148774890229106</v>
      </c>
      <c r="H57">
        <f t="shared" si="3"/>
        <v>1.0009305202208243</v>
      </c>
    </row>
    <row r="58" spans="1:8">
      <c r="A58">
        <f t="shared" si="1"/>
        <v>56</v>
      </c>
      <c r="B58">
        <f>B57+C57*(1+D57)*(1-E57)</f>
        <v>1053371.8340002939</v>
      </c>
      <c r="C58">
        <f t="shared" si="0"/>
        <v>210.67436680005878</v>
      </c>
      <c r="D58">
        <f t="shared" si="5"/>
        <v>52.668591700014694</v>
      </c>
      <c r="E58">
        <f>(B58*$K$3)/(10000+B58*$K$3)</f>
        <v>0.91329769199134569</v>
      </c>
      <c r="F58">
        <f>B58-B57</f>
        <v>979.33457862120122</v>
      </c>
      <c r="G58">
        <f>F58-F57</f>
        <v>0.97246339707635343</v>
      </c>
      <c r="H58">
        <f t="shared" si="3"/>
        <v>1.0009305792080041</v>
      </c>
    </row>
    <row r="59" spans="1:8">
      <c r="A59">
        <f t="shared" si="1"/>
        <v>57</v>
      </c>
      <c r="B59">
        <f>B58+C58*(1+D58)*(1-E58)</f>
        <v>1054352.1420189349</v>
      </c>
      <c r="C59">
        <f t="shared" si="0"/>
        <v>210.87042840378697</v>
      </c>
      <c r="D59">
        <f t="shared" si="5"/>
        <v>52.717607100946751</v>
      </c>
      <c r="E59">
        <f>(B59*$K$3)/(10000+B59*$K$3)</f>
        <v>0.91337132200828919</v>
      </c>
      <c r="F59">
        <f>B59-B58</f>
        <v>980.30801864108071</v>
      </c>
      <c r="G59">
        <f>F59-F58</f>
        <v>0.97344001987949014</v>
      </c>
      <c r="H59">
        <f t="shared" si="3"/>
        <v>1.0009306381535932</v>
      </c>
    </row>
    <row r="60" spans="1:8">
      <c r="A60">
        <f t="shared" si="1"/>
        <v>58</v>
      </c>
      <c r="B60">
        <f>B59+C59*(1+D59)*(1-E59)</f>
        <v>1055333.4244551931</v>
      </c>
      <c r="C60">
        <f t="shared" si="0"/>
        <v>211.06668489103862</v>
      </c>
      <c r="D60">
        <f t="shared" si="5"/>
        <v>52.766671222759655</v>
      </c>
      <c r="E60">
        <f>(B60*$K$3)/(10000+B60*$K$3)</f>
        <v>0.91344490007535628</v>
      </c>
      <c r="F60">
        <f>B60-B59</f>
        <v>981.28243625815958</v>
      </c>
      <c r="G60">
        <f>F60-F59</f>
        <v>0.97441761707887053</v>
      </c>
      <c r="H60">
        <f t="shared" si="3"/>
        <v>1.0009306970576066</v>
      </c>
    </row>
    <row r="61" spans="1:8">
      <c r="A61">
        <f t="shared" si="1"/>
        <v>59</v>
      </c>
      <c r="B61">
        <f>B60+C60*(1+D60)*(1-E60)</f>
        <v>1056315.6822876423</v>
      </c>
      <c r="C61">
        <f t="shared" si="0"/>
        <v>211.26313645752845</v>
      </c>
      <c r="D61">
        <f t="shared" si="5"/>
        <v>52.815784114382112</v>
      </c>
      <c r="E61">
        <f>(B61*$K$3)/(10000+B61*$K$3)</f>
        <v>0.91351842621198298</v>
      </c>
      <c r="F61">
        <f>B61-B60</f>
        <v>982.25783244916238</v>
      </c>
      <c r="G61">
        <f>F61-F60</f>
        <v>0.97539619100280106</v>
      </c>
      <c r="H61">
        <f t="shared" si="3"/>
        <v>1.0009307559200602</v>
      </c>
    </row>
    <row r="62" spans="1:8">
      <c r="A62">
        <f t="shared" si="1"/>
        <v>60</v>
      </c>
      <c r="B62">
        <f>B61+C61*(1+D61)*(1-E61)</f>
        <v>1057298.9164958328</v>
      </c>
      <c r="C62">
        <f t="shared" si="0"/>
        <v>211.45978329916656</v>
      </c>
      <c r="D62">
        <f t="shared" si="5"/>
        <v>52.86494582479164</v>
      </c>
      <c r="E62">
        <f>(B62*$K$3)/(10000+B62*$K$3)</f>
        <v>0.9135919004376255</v>
      </c>
      <c r="F62">
        <f>B62-B61</f>
        <v>983.23420819058083</v>
      </c>
      <c r="G62">
        <f>F62-F61</f>
        <v>0.97637574141845107</v>
      </c>
      <c r="H62">
        <f t="shared" si="3"/>
        <v>1.0009308147409695</v>
      </c>
    </row>
    <row r="63" spans="1:8">
      <c r="A63">
        <f t="shared" si="1"/>
        <v>61</v>
      </c>
      <c r="B63">
        <f>B62+C62*(1+D62)*(1-E62)</f>
        <v>1058283.1280602936</v>
      </c>
      <c r="C63">
        <f t="shared" si="0"/>
        <v>211.65662561205872</v>
      </c>
      <c r="D63">
        <f t="shared" si="5"/>
        <v>52.91415640301468</v>
      </c>
      <c r="E63">
        <f>(B63*$K$3)/(10000+B63*$K$3)</f>
        <v>0.91366532277176138</v>
      </c>
      <c r="F63">
        <f>B63-B62</f>
        <v>984.2115644607693</v>
      </c>
      <c r="G63">
        <f>F63-F62</f>
        <v>0.97735627018846571</v>
      </c>
      <c r="H63">
        <f t="shared" si="3"/>
        <v>1.0009308735203502</v>
      </c>
    </row>
    <row r="64" spans="1:8">
      <c r="A64">
        <f t="shared" si="1"/>
        <v>62</v>
      </c>
      <c r="B64">
        <f>B63+C63*(1+D63)*(1-E63)</f>
        <v>1059268.3179625322</v>
      </c>
      <c r="C64">
        <f t="shared" si="0"/>
        <v>211.85366359250642</v>
      </c>
      <c r="D64">
        <f t="shared" si="5"/>
        <v>52.963415898126605</v>
      </c>
      <c r="E64">
        <f>(B64*$K$3)/(10000+B64*$K$3)</f>
        <v>0.91373869323388857</v>
      </c>
      <c r="F64">
        <f>B64-B63</f>
        <v>985.1899022385478</v>
      </c>
      <c r="G64">
        <f>F64-F63</f>
        <v>0.97833777777850628</v>
      </c>
      <c r="H64">
        <f t="shared" si="3"/>
        <v>1.0009309322582174</v>
      </c>
    </row>
    <row r="65" spans="1:8">
      <c r="A65">
        <f t="shared" si="1"/>
        <v>63</v>
      </c>
      <c r="B65">
        <f>B64+C64*(1+D64)*(1-E64)</f>
        <v>1060254.4871850361</v>
      </c>
      <c r="C65">
        <f t="shared" si="0"/>
        <v>212.05089743700722</v>
      </c>
      <c r="D65">
        <f t="shared" si="5"/>
        <v>53.012724359251806</v>
      </c>
      <c r="E65">
        <f>(B65*$K$3)/(10000+B65*$K$3)</f>
        <v>0.91381201184352578</v>
      </c>
      <c r="F65">
        <f>B65-B64</f>
        <v>986.16922250390053</v>
      </c>
      <c r="G65">
        <f>F65-F64</f>
        <v>0.97932026535272598</v>
      </c>
      <c r="H65">
        <f t="shared" si="3"/>
        <v>1.0009309909545872</v>
      </c>
    </row>
    <row r="66" spans="1:8">
      <c r="A66">
        <f t="shared" si="1"/>
        <v>64</v>
      </c>
      <c r="B66">
        <f>B65+C65*(1+D65)*(1-E65)</f>
        <v>1061241.6367112736</v>
      </c>
      <c r="C66">
        <f t="shared" ref="C66:C122" si="6">B66/100*0.02</f>
        <v>212.2483273422547</v>
      </c>
      <c r="D66">
        <f t="shared" si="5"/>
        <v>53.062081835563681</v>
      </c>
      <c r="E66">
        <f>(B66*$K$3)/(10000+B66*$K$3)</f>
        <v>0.91388527862021229</v>
      </c>
      <c r="F66">
        <f>B66-B65</f>
        <v>987.14952623751014</v>
      </c>
      <c r="G66">
        <f>F66-F65</f>
        <v>0.98030373360961676</v>
      </c>
      <c r="H66">
        <f t="shared" si="3"/>
        <v>1.0009310496094748</v>
      </c>
    </row>
    <row r="67" spans="1:8">
      <c r="A67">
        <f t="shared" si="1"/>
        <v>65</v>
      </c>
      <c r="B67">
        <f>B66+C66*(1+D66)*(1-E66)</f>
        <v>1062229.7675256953</v>
      </c>
      <c r="C67">
        <f t="shared" si="6"/>
        <v>212.44595350513904</v>
      </c>
      <c r="D67">
        <f t="shared" si="5"/>
        <v>53.111488376284761</v>
      </c>
      <c r="E67">
        <f>(B67*$K$3)/(10000+B67*$K$3)</f>
        <v>0.91395849358350811</v>
      </c>
      <c r="F67">
        <f>B67-B66</f>
        <v>988.13081442168914</v>
      </c>
      <c r="G67">
        <f>F67-F66</f>
        <v>0.98128818417899311</v>
      </c>
      <c r="H67">
        <f t="shared" si="3"/>
        <v>1.0009311082228962</v>
      </c>
    </row>
    <row r="68" spans="1:8">
      <c r="A68">
        <f t="shared" ref="A68:A122" si="7">A67+1</f>
        <v>66</v>
      </c>
      <c r="B68">
        <f>B67+C67*(1+D67)*(1-E67)</f>
        <v>1063218.8806137342</v>
      </c>
      <c r="C68">
        <f t="shared" si="6"/>
        <v>212.64377612274686</v>
      </c>
      <c r="D68">
        <f t="shared" si="5"/>
        <v>53.160944030686714</v>
      </c>
      <c r="E68">
        <f>(B68*$K$3)/(10000+B68*$K$3)</f>
        <v>0.91403165675299369</v>
      </c>
      <c r="F68">
        <f>B68-B67</f>
        <v>989.11308803898282</v>
      </c>
      <c r="G68">
        <f>F68-F67</f>
        <v>0.98227361729368567</v>
      </c>
      <c r="H68">
        <f t="shared" ref="H68:H122" si="8">B68/B67</f>
        <v>1.0009311667948668</v>
      </c>
    </row>
    <row r="69" spans="1:8">
      <c r="A69">
        <f t="shared" si="7"/>
        <v>67</v>
      </c>
      <c r="B69">
        <f>B68+C68*(1+D68)*(1-E68)</f>
        <v>1064208.9769618078</v>
      </c>
      <c r="C69">
        <f t="shared" si="6"/>
        <v>212.84179539236158</v>
      </c>
      <c r="D69">
        <f t="shared" si="5"/>
        <v>53.210448848090394</v>
      </c>
      <c r="E69">
        <f>(B69*$K$3)/(10000+B69*$K$3)</f>
        <v>0.91410476814826991</v>
      </c>
      <c r="F69">
        <f>B69-B68</f>
        <v>990.09634807356633</v>
      </c>
      <c r="G69">
        <f>F69-F68</f>
        <v>0.98326003458350897</v>
      </c>
      <c r="H69">
        <f t="shared" si="8"/>
        <v>1.0009312253254024</v>
      </c>
    </row>
    <row r="70" spans="1:8">
      <c r="A70">
        <f t="shared" si="7"/>
        <v>68</v>
      </c>
      <c r="B70">
        <f>B69+C69*(1+D69)*(1-E69)</f>
        <v>1065200.0575573177</v>
      </c>
      <c r="C70">
        <f t="shared" si="6"/>
        <v>213.04001151146352</v>
      </c>
      <c r="D70">
        <f t="shared" si="5"/>
        <v>53.26000287786588</v>
      </c>
      <c r="E70">
        <f>(B70*$K$3)/(10000+B70*$K$3)</f>
        <v>0.91417782778895817</v>
      </c>
      <c r="F70">
        <f>B70-B69</f>
        <v>991.08059550984763</v>
      </c>
      <c r="G70">
        <f>F70-F69</f>
        <v>0.98424743628129363</v>
      </c>
      <c r="H70">
        <f t="shared" si="8"/>
        <v>1.0009312838145186</v>
      </c>
    </row>
    <row r="71" spans="1:8">
      <c r="A71">
        <f t="shared" si="7"/>
        <v>69</v>
      </c>
      <c r="B71">
        <f>B70+C70*(1+D70)*(1-E70)</f>
        <v>1066192.1233886518</v>
      </c>
      <c r="C71">
        <f t="shared" si="6"/>
        <v>213.23842467773036</v>
      </c>
      <c r="D71">
        <f t="shared" si="5"/>
        <v>53.309606169432591</v>
      </c>
      <c r="E71">
        <f>(B71*$K$3)/(10000+B71*$K$3)</f>
        <v>0.91425083569470011</v>
      </c>
      <c r="F71">
        <f>B71-B70</f>
        <v>992.06583133409731</v>
      </c>
      <c r="G71">
        <f>F71-F70</f>
        <v>0.98523582424968481</v>
      </c>
      <c r="H71">
        <f t="shared" si="8"/>
        <v>1.000931342262231</v>
      </c>
    </row>
    <row r="72" spans="1:8">
      <c r="A72">
        <f t="shared" si="7"/>
        <v>70</v>
      </c>
      <c r="B72">
        <f>B71+C71*(1+D71)*(1-E71)</f>
        <v>1067185.1754451848</v>
      </c>
      <c r="C72">
        <f t="shared" si="6"/>
        <v>213.43703508903695</v>
      </c>
      <c r="D72">
        <f t="shared" si="5"/>
        <v>53.359258772259238</v>
      </c>
      <c r="E72">
        <f>(B72*$K$3)/(10000+B72*$K$3)</f>
        <v>0.914323791885158</v>
      </c>
      <c r="F72">
        <f>B72-B71</f>
        <v>993.05205653305165</v>
      </c>
      <c r="G72">
        <f>F72-F71</f>
        <v>0.9862251989543438</v>
      </c>
      <c r="H72">
        <f t="shared" si="8"/>
        <v>1.0009314006685557</v>
      </c>
    </row>
    <row r="73" spans="1:8">
      <c r="A73">
        <f t="shared" si="7"/>
        <v>71</v>
      </c>
      <c r="B73">
        <f>B72+C72*(1+D72)*(1-E72)</f>
        <v>1068179.2147172792</v>
      </c>
      <c r="C73">
        <f t="shared" si="6"/>
        <v>213.63584294345583</v>
      </c>
      <c r="D73">
        <f t="shared" si="5"/>
        <v>53.408960735863957</v>
      </c>
      <c r="E73">
        <f>(B73*$K$3)/(10000+B73*$K$3)</f>
        <v>0.91439669638001408</v>
      </c>
      <c r="F73">
        <f>B73-B72</f>
        <v>994.03927209437825</v>
      </c>
      <c r="G73">
        <f>F73-F72</f>
        <v>0.98721556132659316</v>
      </c>
      <c r="H73">
        <f t="shared" si="8"/>
        <v>1.0009314590335081</v>
      </c>
    </row>
    <row r="74" spans="1:8">
      <c r="A74">
        <f t="shared" si="7"/>
        <v>72</v>
      </c>
      <c r="B74">
        <f>B73+C73*(1+D73)*(1-E73)</f>
        <v>1069174.2421962861</v>
      </c>
      <c r="C74">
        <f t="shared" si="6"/>
        <v>213.83484843925723</v>
      </c>
      <c r="D74">
        <f t="shared" ref="D74:D122" si="9">B74/20000</f>
        <v>53.458712109814307</v>
      </c>
      <c r="E74">
        <f>(B74*$K$3)/(10000+B74*$K$3)</f>
        <v>0.91446954919897083</v>
      </c>
      <c r="F74">
        <f>B74-B73</f>
        <v>995.02747900690883</v>
      </c>
      <c r="G74">
        <f>F74-F73</f>
        <v>0.98820691253058612</v>
      </c>
      <c r="H74">
        <f t="shared" si="8"/>
        <v>1.0009315173571041</v>
      </c>
    </row>
    <row r="75" spans="1:8">
      <c r="A75">
        <f t="shared" si="7"/>
        <v>73</v>
      </c>
      <c r="B75">
        <f>B74+C74*(1+D74)*(1-E74)</f>
        <v>1070170.2588745465</v>
      </c>
      <c r="C75">
        <f t="shared" si="6"/>
        <v>214.03405177490933</v>
      </c>
      <c r="D75">
        <f t="shared" si="9"/>
        <v>53.508512943727325</v>
      </c>
      <c r="E75">
        <f>(B75*$K$3)/(10000+B75*$K$3)</f>
        <v>0.91454235036175113</v>
      </c>
      <c r="F75">
        <f>B75-B74</f>
        <v>996.01667826040648</v>
      </c>
      <c r="G75">
        <f>F75-F74</f>
        <v>0.98919925349764526</v>
      </c>
      <c r="H75">
        <f t="shared" si="8"/>
        <v>1.0009315756393593</v>
      </c>
    </row>
    <row r="76" spans="1:8">
      <c r="A76">
        <f t="shared" si="7"/>
        <v>74</v>
      </c>
      <c r="B76">
        <f>B75+C75*(1+D75)*(1-E75)</f>
        <v>1071167.2657453921</v>
      </c>
      <c r="C76">
        <f t="shared" si="6"/>
        <v>214.23345314907843</v>
      </c>
      <c r="D76">
        <f t="shared" si="9"/>
        <v>53.5583632872696</v>
      </c>
      <c r="E76">
        <f>(B76*$K$3)/(10000+B76*$K$3)</f>
        <v>0.91461509988809775</v>
      </c>
      <c r="F76">
        <f>B76-B75</f>
        <v>997.00687084556557</v>
      </c>
      <c r="G76">
        <f>F76-F75</f>
        <v>0.99019258515909314</v>
      </c>
      <c r="H76">
        <f t="shared" si="8"/>
        <v>1.0009316338802894</v>
      </c>
    </row>
    <row r="77" spans="1:8">
      <c r="A77">
        <f t="shared" si="7"/>
        <v>75</v>
      </c>
      <c r="B77">
        <f>B76+C76*(1+D76)*(1-E76)</f>
        <v>1072165.2638031463</v>
      </c>
      <c r="C77">
        <f t="shared" si="6"/>
        <v>214.43305276062927</v>
      </c>
      <c r="D77">
        <f t="shared" si="9"/>
        <v>53.608263190157317</v>
      </c>
      <c r="E77">
        <f>(B77*$K$3)/(10000+B77*$K$3)</f>
        <v>0.91468779779777365</v>
      </c>
      <c r="F77">
        <f>B77-B76</f>
        <v>997.99805775424466</v>
      </c>
      <c r="G77">
        <f>F77-F76</f>
        <v>0.99118690867908299</v>
      </c>
      <c r="H77">
        <f t="shared" si="8"/>
        <v>1.0009316920799103</v>
      </c>
    </row>
    <row r="78" spans="1:8">
      <c r="A78">
        <f t="shared" si="7"/>
        <v>76</v>
      </c>
      <c r="B78">
        <f>B77+C77*(1+D77)*(1-E77)</f>
        <v>1073164.2540431255</v>
      </c>
      <c r="C78">
        <f t="shared" si="6"/>
        <v>214.63285080862511</v>
      </c>
      <c r="D78">
        <f t="shared" si="9"/>
        <v>53.658212702156277</v>
      </c>
      <c r="E78">
        <f>(B78*$K$3)/(10000+B78*$K$3)</f>
        <v>0.9147604441105619</v>
      </c>
      <c r="F78">
        <f>B78-B77</f>
        <v>998.99023997923359</v>
      </c>
      <c r="G78">
        <f>F78-F77</f>
        <v>0.99218222498893738</v>
      </c>
      <c r="H78">
        <f t="shared" si="8"/>
        <v>1.0009317502382382</v>
      </c>
    </row>
    <row r="79" spans="1:8">
      <c r="A79">
        <f t="shared" si="7"/>
        <v>77</v>
      </c>
      <c r="B79">
        <f>B78+C78*(1+D78)*(1-E78)</f>
        <v>1074164.2374616398</v>
      </c>
      <c r="C79">
        <f t="shared" si="6"/>
        <v>214.83284749232797</v>
      </c>
      <c r="D79">
        <f t="shared" si="9"/>
        <v>53.708211873081993</v>
      </c>
      <c r="E79">
        <f>(B79*$K$3)/(10000+B79*$K$3)</f>
        <v>0.91483303884626532</v>
      </c>
      <c r="F79">
        <f>B79-B78</f>
        <v>999.98341851425357</v>
      </c>
      <c r="G79">
        <f>F79-F78</f>
        <v>0.99317853501997888</v>
      </c>
      <c r="H79">
        <f t="shared" si="8"/>
        <v>1.0009318083552885</v>
      </c>
    </row>
    <row r="80" spans="1:8">
      <c r="A80">
        <f t="shared" si="7"/>
        <v>78</v>
      </c>
      <c r="B80">
        <f>B79+C79*(1+D79)*(1-E79)</f>
        <v>1075165.2150559938</v>
      </c>
      <c r="C80">
        <f t="shared" si="6"/>
        <v>215.03304301119874</v>
      </c>
      <c r="D80">
        <f t="shared" si="9"/>
        <v>53.758260752799686</v>
      </c>
      <c r="E80">
        <f>(B80*$K$3)/(10000+B80*$K$3)</f>
        <v>0.91490558202470684</v>
      </c>
      <c r="F80">
        <f>B80-B79</f>
        <v>1000.9775943539571</v>
      </c>
      <c r="G80">
        <f>F80-F79</f>
        <v>0.99417583970353007</v>
      </c>
      <c r="H80">
        <f t="shared" si="8"/>
        <v>1.0009318664310771</v>
      </c>
    </row>
    <row r="81" spans="1:8">
      <c r="A81">
        <f t="shared" si="7"/>
        <v>79</v>
      </c>
      <c r="B81">
        <f>B80+C80*(1+D80)*(1-E80)</f>
        <v>1076167.1878244877</v>
      </c>
      <c r="C81">
        <f t="shared" si="6"/>
        <v>215.23343756489754</v>
      </c>
      <c r="D81">
        <f t="shared" si="9"/>
        <v>53.808359391224386</v>
      </c>
      <c r="E81">
        <f>(B81*$K$3)/(10000+B81*$K$3)</f>
        <v>0.91497807366572925</v>
      </c>
      <c r="F81">
        <f>B81-B80</f>
        <v>1001.972768493928</v>
      </c>
      <c r="G81">
        <f>F81-F80</f>
        <v>0.99517413997091353</v>
      </c>
      <c r="H81">
        <f t="shared" si="8"/>
        <v>1.0009319244656196</v>
      </c>
    </row>
    <row r="82" spans="1:8">
      <c r="A82">
        <f t="shared" si="7"/>
        <v>80</v>
      </c>
      <c r="B82">
        <f>B81+C81*(1+D81)*(1-E81)</f>
        <v>1077170.1567664188</v>
      </c>
      <c r="C82">
        <f t="shared" si="6"/>
        <v>215.43403135328376</v>
      </c>
      <c r="D82">
        <f t="shared" si="9"/>
        <v>53.858507838320939</v>
      </c>
      <c r="E82">
        <f>(B82*$K$3)/(10000+B82*$K$3)</f>
        <v>0.91505051378919511</v>
      </c>
      <c r="F82">
        <f>B82-B81</f>
        <v>1002.9689419311471</v>
      </c>
      <c r="G82">
        <f>F82-F81</f>
        <v>0.99617343721911311</v>
      </c>
      <c r="H82">
        <f t="shared" si="8"/>
        <v>1.0009319824589324</v>
      </c>
    </row>
    <row r="83" spans="1:8">
      <c r="A83">
        <f t="shared" si="7"/>
        <v>81</v>
      </c>
      <c r="B83">
        <f>B82+C82*(1+D82)*(1-E82)</f>
        <v>1078174.1228820821</v>
      </c>
      <c r="C83">
        <f t="shared" si="6"/>
        <v>215.63482457641643</v>
      </c>
      <c r="D83">
        <f t="shared" si="9"/>
        <v>53.908706144104109</v>
      </c>
      <c r="E83">
        <f>(B83*$K$3)/(10000+B83*$K$3)</f>
        <v>0.91512290241498662</v>
      </c>
      <c r="F83">
        <f>B83-B82</f>
        <v>1003.9661156632937</v>
      </c>
      <c r="G83">
        <f>F83-F82</f>
        <v>0.99717373214662075</v>
      </c>
      <c r="H83">
        <f t="shared" si="8"/>
        <v>1.0009320404110313</v>
      </c>
    </row>
    <row r="84" spans="1:8">
      <c r="A84">
        <f t="shared" si="7"/>
        <v>82</v>
      </c>
      <c r="B84">
        <f>B83+C83*(1+D83)*(1-E83)</f>
        <v>1079179.0871727711</v>
      </c>
      <c r="C84">
        <f t="shared" si="6"/>
        <v>215.83581743455423</v>
      </c>
      <c r="D84">
        <f t="shared" si="9"/>
        <v>53.958954358638557</v>
      </c>
      <c r="E84">
        <f>(B84*$K$3)/(10000+B84*$K$3)</f>
        <v>0.91519523956300608</v>
      </c>
      <c r="F84">
        <f>B84-B83</f>
        <v>1004.9642906889785</v>
      </c>
      <c r="G84">
        <f>F84-F83</f>
        <v>0.99817502568475902</v>
      </c>
      <c r="H84">
        <f t="shared" si="8"/>
        <v>1.0009320983219321</v>
      </c>
    </row>
    <row r="85" spans="1:8">
      <c r="A85">
        <f t="shared" si="7"/>
        <v>83</v>
      </c>
      <c r="B85">
        <f>B84+C84*(1+D84)*(1-E84)</f>
        <v>1080185.0506407788</v>
      </c>
      <c r="C85">
        <f t="shared" si="6"/>
        <v>216.03701012815577</v>
      </c>
      <c r="D85">
        <f t="shared" si="9"/>
        <v>54.009252532038943</v>
      </c>
      <c r="E85">
        <f>(B85*$K$3)/(10000+B85*$K$3)</f>
        <v>0.91526752525317512</v>
      </c>
      <c r="F85">
        <f>B85-B84</f>
        <v>1005.9634680077434</v>
      </c>
      <c r="G85">
        <f>F85-F84</f>
        <v>0.9991773187648505</v>
      </c>
      <c r="H85">
        <f t="shared" si="8"/>
        <v>1.0009321561916504</v>
      </c>
    </row>
    <row r="86" spans="1:8">
      <c r="A86">
        <f t="shared" si="7"/>
        <v>84</v>
      </c>
      <c r="B86">
        <f>B85+C85*(1+D85)*(1-E85)</f>
        <v>1081192.0142893994</v>
      </c>
      <c r="C86">
        <f t="shared" si="6"/>
        <v>216.23840285787989</v>
      </c>
      <c r="D86">
        <f t="shared" si="9"/>
        <v>54.059600714469966</v>
      </c>
      <c r="E86">
        <f>(B86*$K$3)/(10000+B86*$K$3)</f>
        <v>0.91533975950543522</v>
      </c>
      <c r="F86">
        <f>B86-B85</f>
        <v>1006.9636486205272</v>
      </c>
      <c r="G86">
        <f>F86-F85</f>
        <v>1.000180612783879</v>
      </c>
      <c r="H86">
        <f t="shared" si="8"/>
        <v>1.0009322140202026</v>
      </c>
    </row>
    <row r="87" spans="1:8">
      <c r="A87">
        <f t="shared" si="7"/>
        <v>85</v>
      </c>
      <c r="B87">
        <f>B86+C86*(1+D86)*(1-E86)</f>
        <v>1082199.9791229283</v>
      </c>
      <c r="C87">
        <f t="shared" si="6"/>
        <v>216.43999582458568</v>
      </c>
      <c r="D87">
        <f t="shared" si="9"/>
        <v>54.10999895614642</v>
      </c>
      <c r="E87">
        <f>(B87*$K$3)/(10000+B87*$K$3)</f>
        <v>0.9154119423397471</v>
      </c>
      <c r="F87">
        <f>B87-B86</f>
        <v>1007.9648335289676</v>
      </c>
      <c r="G87">
        <f>F87-F86</f>
        <v>1.0011849084403366</v>
      </c>
      <c r="H87">
        <f t="shared" si="8"/>
        <v>1.0009322718076044</v>
      </c>
    </row>
    <row r="88" spans="1:8">
      <c r="A88">
        <f t="shared" si="7"/>
        <v>86</v>
      </c>
      <c r="B88">
        <f>B87+C87*(1+D87)*(1-E87)</f>
        <v>1083208.946146664</v>
      </c>
      <c r="C88">
        <f t="shared" si="6"/>
        <v>216.6417892293328</v>
      </c>
      <c r="D88">
        <f t="shared" si="9"/>
        <v>54.1604473073332</v>
      </c>
      <c r="E88">
        <f>(B88*$K$3)/(10000+B88*$K$3)</f>
        <v>0.91548407377609153</v>
      </c>
      <c r="F88">
        <f>B88-B87</f>
        <v>1008.9670237356331</v>
      </c>
      <c r="G88">
        <f>F88-F87</f>
        <v>1.0021902066655457</v>
      </c>
      <c r="H88">
        <f t="shared" si="8"/>
        <v>1.0009323295538717</v>
      </c>
    </row>
    <row r="89" spans="1:8">
      <c r="A89">
        <f t="shared" si="7"/>
        <v>87</v>
      </c>
      <c r="B89">
        <f>B88+C88*(1+D88)*(1-E88)</f>
        <v>1084218.9163669085</v>
      </c>
      <c r="C89">
        <f t="shared" si="6"/>
        <v>216.84378327338172</v>
      </c>
      <c r="D89">
        <f t="shared" si="9"/>
        <v>54.210945818345422</v>
      </c>
      <c r="E89">
        <f>(B89*$K$3)/(10000+B89*$K$3)</f>
        <v>0.9155561538344682</v>
      </c>
      <c r="F89">
        <f>B89-B88</f>
        <v>1009.9702202444896</v>
      </c>
      <c r="G89">
        <f>F89-F88</f>
        <v>1.0031965088564903</v>
      </c>
      <c r="H89">
        <f t="shared" si="8"/>
        <v>1.0009323872590208</v>
      </c>
    </row>
    <row r="90" spans="1:8">
      <c r="A90">
        <f t="shared" si="7"/>
        <v>88</v>
      </c>
      <c r="B90">
        <f>B89+C89*(1+D89)*(1-E89)</f>
        <v>1085229.8907909687</v>
      </c>
      <c r="C90">
        <f t="shared" si="6"/>
        <v>217.04597815819372</v>
      </c>
      <c r="D90">
        <f t="shared" si="9"/>
        <v>54.261494539548437</v>
      </c>
      <c r="E90">
        <f>(B90*$K$3)/(10000+B90*$K$3)</f>
        <v>0.91562818253489664</v>
      </c>
      <c r="F90">
        <f>B90-B89</f>
        <v>1010.9744240602013</v>
      </c>
      <c r="G90">
        <f>F90-F89</f>
        <v>1.0042038157116622</v>
      </c>
      <c r="H90">
        <f t="shared" si="8"/>
        <v>1.0009324449230677</v>
      </c>
    </row>
    <row r="91" spans="1:8">
      <c r="A91">
        <f t="shared" si="7"/>
        <v>89</v>
      </c>
      <c r="B91">
        <f>B90+C90*(1+D90)*(1-E90)</f>
        <v>1086241.8704271568</v>
      </c>
      <c r="C91">
        <f t="shared" si="6"/>
        <v>217.24837408543135</v>
      </c>
      <c r="D91">
        <f t="shared" si="9"/>
        <v>54.312093521357838</v>
      </c>
      <c r="E91">
        <f>(B91*$K$3)/(10000+B91*$K$3)</f>
        <v>0.9157001598974156</v>
      </c>
      <c r="F91">
        <f>B91-B90</f>
        <v>1011.9796361881308</v>
      </c>
      <c r="G91">
        <f>F91-F90</f>
        <v>1.0052121279295534</v>
      </c>
      <c r="H91">
        <f t="shared" si="8"/>
        <v>1.0009325025460278</v>
      </c>
    </row>
    <row r="92" spans="1:8">
      <c r="A92">
        <f t="shared" si="7"/>
        <v>90</v>
      </c>
      <c r="B92">
        <f>B91+C91*(1+D91)*(1-E91)</f>
        <v>1087254.8562847921</v>
      </c>
      <c r="C92">
        <f t="shared" si="6"/>
        <v>217.45097125695841</v>
      </c>
      <c r="D92">
        <f t="shared" si="9"/>
        <v>54.362742814239603</v>
      </c>
      <c r="E92">
        <f>(B92*$K$3)/(10000+B92*$K$3)</f>
        <v>0.91577208594208304</v>
      </c>
      <c r="F92">
        <f>B92-B91</f>
        <v>1012.9858576352708</v>
      </c>
      <c r="G92">
        <f>F92-F91</f>
        <v>1.0062214471399784</v>
      </c>
      <c r="H92">
        <f t="shared" si="8"/>
        <v>1.0009325601279178</v>
      </c>
    </row>
    <row r="93" spans="1:8">
      <c r="A93">
        <f t="shared" si="7"/>
        <v>91</v>
      </c>
      <c r="B93">
        <f>B92+C92*(1+D92)*(1-E92)</f>
        <v>1088268.8493742014</v>
      </c>
      <c r="C93">
        <f t="shared" si="6"/>
        <v>217.65376987484029</v>
      </c>
      <c r="D93">
        <f t="shared" si="9"/>
        <v>54.413442468710066</v>
      </c>
      <c r="E93">
        <f>(B93*$K$3)/(10000+B93*$K$3)</f>
        <v>0.91584396068897644</v>
      </c>
      <c r="F93">
        <f>B93-B92</f>
        <v>1013.9930894093122</v>
      </c>
      <c r="G93">
        <f>F93-F92</f>
        <v>1.0072317740414292</v>
      </c>
      <c r="H93">
        <f t="shared" si="8"/>
        <v>1.0009326176687536</v>
      </c>
    </row>
    <row r="94" spans="1:8">
      <c r="A94">
        <f t="shared" si="7"/>
        <v>92</v>
      </c>
      <c r="B94">
        <f>B93+C93*(1+D93)*(1-E93)</f>
        <v>1089283.8507067205</v>
      </c>
      <c r="C94">
        <f t="shared" si="6"/>
        <v>217.8567701413441</v>
      </c>
      <c r="D94">
        <f t="shared" si="9"/>
        <v>54.464192535336025</v>
      </c>
      <c r="E94">
        <f>(B94*$K$3)/(10000+B94*$K$3)</f>
        <v>0.91591578415819241</v>
      </c>
      <c r="F94">
        <f>B94-B93</f>
        <v>1015.0013325191103</v>
      </c>
      <c r="G94">
        <f>F94-F93</f>
        <v>1.0082431097980589</v>
      </c>
      <c r="H94">
        <f t="shared" si="8"/>
        <v>1.0009326751685512</v>
      </c>
    </row>
    <row r="95" spans="1:8">
      <c r="A95">
        <f t="shared" si="7"/>
        <v>93</v>
      </c>
      <c r="B95">
        <f>B94+C94*(1+D94)*(1-E94)</f>
        <v>1090299.8612946945</v>
      </c>
      <c r="C95">
        <f t="shared" si="6"/>
        <v>218.0599722589389</v>
      </c>
      <c r="D95">
        <f t="shared" si="9"/>
        <v>54.514993064734725</v>
      </c>
      <c r="E95">
        <f>(B95*$K$3)/(10000+B95*$K$3)</f>
        <v>0.91598755636984652</v>
      </c>
      <c r="F95">
        <f>B95-B94</f>
        <v>1016.0105879739858</v>
      </c>
      <c r="G95">
        <f>F95-F94</f>
        <v>1.0092554548755288</v>
      </c>
      <c r="H95">
        <f t="shared" si="8"/>
        <v>1.0009327326273265</v>
      </c>
    </row>
    <row r="96" spans="1:8">
      <c r="A96">
        <f t="shared" si="7"/>
        <v>94</v>
      </c>
      <c r="B96">
        <f>B95+C95*(1+D95)*(1-E95)</f>
        <v>1091316.8821514796</v>
      </c>
      <c r="C96">
        <f t="shared" si="6"/>
        <v>218.26337643029592</v>
      </c>
      <c r="D96">
        <f t="shared" si="9"/>
        <v>54.56584410757398</v>
      </c>
      <c r="E96">
        <f>(B96*$K$3)/(10000+B96*$K$3)</f>
        <v>0.91605927734407389</v>
      </c>
      <c r="F96">
        <f>B96-B95</f>
        <v>1017.0208567851223</v>
      </c>
      <c r="G96">
        <f>F96-F95</f>
        <v>1.0102688111364841</v>
      </c>
      <c r="H96">
        <f t="shared" si="8"/>
        <v>1.0009327900450959</v>
      </c>
    </row>
    <row r="97" spans="1:8">
      <c r="A97">
        <f t="shared" si="7"/>
        <v>95</v>
      </c>
      <c r="B97">
        <f>B96+C96*(1+D96)*(1-E96)</f>
        <v>1092334.9142914435</v>
      </c>
      <c r="C97">
        <f t="shared" si="6"/>
        <v>218.46698285828873</v>
      </c>
      <c r="D97">
        <f t="shared" si="9"/>
        <v>54.616745714572176</v>
      </c>
      <c r="E97">
        <f>(B97*$K$3)/(10000+B97*$K$3)</f>
        <v>0.91613094710102827</v>
      </c>
      <c r="F97">
        <f>B97-B96</f>
        <v>1018.0321399639361</v>
      </c>
      <c r="G97">
        <f>F97-F96</f>
        <v>1.0112831788137555</v>
      </c>
      <c r="H97">
        <f t="shared" si="8"/>
        <v>1.0009328474218753</v>
      </c>
    </row>
    <row r="98" spans="1:8">
      <c r="A98">
        <f t="shared" si="7"/>
        <v>96</v>
      </c>
      <c r="B98">
        <f>B97+C97*(1+D97)*(1-E97)</f>
        <v>1093353.958729967</v>
      </c>
      <c r="C98">
        <f t="shared" si="6"/>
        <v>218.67079174599343</v>
      </c>
      <c r="D98">
        <f t="shared" si="9"/>
        <v>54.66769793649835</v>
      </c>
      <c r="E98">
        <f>(B98*$K$3)/(10000+B98*$K$3)</f>
        <v>0.91620256566088276</v>
      </c>
      <c r="F98">
        <f>B98-B97</f>
        <v>1019.0444385234732</v>
      </c>
      <c r="G98">
        <f>F98-F97</f>
        <v>1.0122985595371574</v>
      </c>
      <c r="H98">
        <f t="shared" si="8"/>
        <v>1.0009329047576809</v>
      </c>
    </row>
    <row r="99" spans="1:8">
      <c r="A99">
        <f t="shared" si="7"/>
        <v>97</v>
      </c>
      <c r="B99">
        <f>B98+C98*(1+D98)*(1-E98)</f>
        <v>1094374.016483444</v>
      </c>
      <c r="C99">
        <f t="shared" si="6"/>
        <v>218.87480329668881</v>
      </c>
      <c r="D99">
        <f t="shared" si="9"/>
        <v>54.718700824172203</v>
      </c>
      <c r="E99">
        <f>(B99*$K$3)/(10000+B99*$K$3)</f>
        <v>0.91627413304382932</v>
      </c>
      <c r="F99">
        <f>B99-B98</f>
        <v>1020.0577534770127</v>
      </c>
      <c r="G99">
        <f>F99-F98</f>
        <v>1.0133149535395205</v>
      </c>
      <c r="H99">
        <f t="shared" si="8"/>
        <v>1.0009329620525287</v>
      </c>
    </row>
    <row r="100" spans="1:8">
      <c r="A100">
        <f t="shared" si="7"/>
        <v>98</v>
      </c>
      <c r="B100">
        <f>B99+C99*(1+D99)*(1-E99)</f>
        <v>1095395.088569284</v>
      </c>
      <c r="C100">
        <f t="shared" si="6"/>
        <v>219.07901771385679</v>
      </c>
      <c r="D100">
        <f t="shared" si="9"/>
        <v>54.769754428464196</v>
      </c>
      <c r="E100">
        <f>(B100*$K$3)/(10000+B100*$K$3)</f>
        <v>0.91634564927007889</v>
      </c>
      <c r="F100">
        <f>B100-B99</f>
        <v>1021.0720858399291</v>
      </c>
      <c r="G100">
        <f>F100-F99</f>
        <v>1.0143323629163206</v>
      </c>
      <c r="H100">
        <f t="shared" si="8"/>
        <v>1.000933019306435</v>
      </c>
    </row>
    <row r="101" spans="1:8">
      <c r="A101">
        <f t="shared" si="7"/>
        <v>99</v>
      </c>
      <c r="B101">
        <f>B100+C100*(1+D100)*(1-E100)</f>
        <v>1096417.1760059115</v>
      </c>
      <c r="C101">
        <f t="shared" si="6"/>
        <v>219.2834352011823</v>
      </c>
      <c r="D101">
        <f t="shared" si="9"/>
        <v>54.820858800295575</v>
      </c>
      <c r="E101">
        <f>(B101*$K$3)/(10000+B101*$K$3)</f>
        <v>0.91641711435986117</v>
      </c>
      <c r="F101">
        <f>B101-B100</f>
        <v>1022.0874366275966</v>
      </c>
      <c r="G101">
        <f>F101-F100</f>
        <v>1.0153507876675576</v>
      </c>
      <c r="H101">
        <f t="shared" si="8"/>
        <v>1.000933076519416</v>
      </c>
    </row>
    <row r="102" spans="1:8">
      <c r="A102">
        <f t="shared" si="7"/>
        <v>100</v>
      </c>
      <c r="B102">
        <f>B101+C101*(1+D101)*(1-E101)</f>
        <v>1097440.2798127686</v>
      </c>
      <c r="C102">
        <f t="shared" si="6"/>
        <v>219.48805596255372</v>
      </c>
      <c r="D102">
        <f t="shared" si="9"/>
        <v>54.872013990638429</v>
      </c>
      <c r="E102">
        <f>(B102*$K$3)/(10000+B102*$K$3)</f>
        <v>0.91648852833342476</v>
      </c>
      <c r="F102">
        <f>B102-B101</f>
        <v>1023.1038068570197</v>
      </c>
      <c r="G102">
        <f>F102-F101</f>
        <v>1.0163702294230461</v>
      </c>
      <c r="H102">
        <f t="shared" si="8"/>
        <v>1.0009331336914877</v>
      </c>
    </row>
    <row r="103" spans="1:8">
      <c r="A103">
        <f t="shared" si="7"/>
        <v>101</v>
      </c>
      <c r="B103">
        <f>B102+C102*(1+D102)*(1-E102)</f>
        <v>1098464.4010103147</v>
      </c>
      <c r="C103">
        <f t="shared" si="6"/>
        <v>219.69288020206295</v>
      </c>
      <c r="D103">
        <f t="shared" si="9"/>
        <v>54.923220050515738</v>
      </c>
      <c r="E103">
        <f>(B103*$K$3)/(10000+B103*$K$3)</f>
        <v>0.91655989121103698</v>
      </c>
      <c r="F103">
        <f>B103-B102</f>
        <v>1024.1211975461338</v>
      </c>
      <c r="G103">
        <f>F103-F102</f>
        <v>1.0173906891141087</v>
      </c>
      <c r="H103">
        <f t="shared" si="8"/>
        <v>1.0009331908226669</v>
      </c>
    </row>
    <row r="104" spans="1:8">
      <c r="A104">
        <f t="shared" si="7"/>
        <v>102</v>
      </c>
      <c r="B104">
        <f>B103+C103*(1+D103)*(1-E103)</f>
        <v>1099489.540620028</v>
      </c>
      <c r="C104">
        <f t="shared" si="6"/>
        <v>219.89790812400562</v>
      </c>
      <c r="D104">
        <f t="shared" si="9"/>
        <v>54.974477031001399</v>
      </c>
      <c r="E104">
        <f>(B104*$K$3)/(10000+B104*$K$3)</f>
        <v>0.91663120301298417</v>
      </c>
      <c r="F104">
        <f>B104-B103</f>
        <v>1025.1396097133402</v>
      </c>
      <c r="G104">
        <f>F104-F103</f>
        <v>1.0184121672064066</v>
      </c>
      <c r="H104">
        <f t="shared" si="8"/>
        <v>1.0009332479129687</v>
      </c>
    </row>
    <row r="105" spans="1:8">
      <c r="A105">
        <f t="shared" si="7"/>
        <v>103</v>
      </c>
      <c r="B105">
        <f>B104+C104*(1+D104)*(1-E104)</f>
        <v>1100515.6996644069</v>
      </c>
      <c r="C105">
        <f t="shared" si="6"/>
        <v>220.10313993288139</v>
      </c>
      <c r="D105">
        <f t="shared" si="9"/>
        <v>55.025784983220348</v>
      </c>
      <c r="E105">
        <f>(B105*$K$3)/(10000+B105*$K$3)</f>
        <v>0.91670246375957098</v>
      </c>
      <c r="F105">
        <f>B105-B104</f>
        <v>1026.1590443789028</v>
      </c>
      <c r="G105">
        <f>F105-F104</f>
        <v>1.019434665562585</v>
      </c>
      <c r="H105">
        <f t="shared" si="8"/>
        <v>1.0009333049624103</v>
      </c>
    </row>
    <row r="106" spans="1:8">
      <c r="A106">
        <f t="shared" si="7"/>
        <v>104</v>
      </c>
      <c r="B106">
        <f>B105+C105*(1+D105)*(1-E105)</f>
        <v>1101542.8791669705</v>
      </c>
      <c r="C106">
        <f t="shared" si="6"/>
        <v>220.30857583339412</v>
      </c>
      <c r="D106">
        <f t="shared" si="9"/>
        <v>55.077143958348522</v>
      </c>
      <c r="E106">
        <f>(B106*$K$3)/(10000+B106*$K$3)</f>
        <v>0.91677367347112071</v>
      </c>
      <c r="F106">
        <f>B106-B105</f>
        <v>1027.1795025635511</v>
      </c>
      <c r="G106">
        <f>F106-F105</f>
        <v>1.0204581846483052</v>
      </c>
      <c r="H106">
        <f t="shared" si="8"/>
        <v>1.0009333619710077</v>
      </c>
    </row>
    <row r="107" spans="1:8">
      <c r="A107">
        <f t="shared" si="7"/>
        <v>105</v>
      </c>
      <c r="B107">
        <f>B106+C106*(1+D106)*(1-E106)</f>
        <v>1102571.0801522597</v>
      </c>
      <c r="C107">
        <f t="shared" si="6"/>
        <v>220.51421603045193</v>
      </c>
      <c r="D107">
        <f t="shared" si="9"/>
        <v>55.128554007612983</v>
      </c>
      <c r="E107">
        <f>(B107*$K$3)/(10000+B107*$K$3)</f>
        <v>0.91684483216797563</v>
      </c>
      <c r="F107">
        <f>B107-B106</f>
        <v>1028.2009852891788</v>
      </c>
      <c r="G107">
        <f>F107-F106</f>
        <v>1.0214827256277204</v>
      </c>
      <c r="H107">
        <f t="shared" si="8"/>
        <v>1.0009334189387769</v>
      </c>
    </row>
    <row r="108" spans="1:8">
      <c r="A108">
        <f t="shared" si="7"/>
        <v>106</v>
      </c>
      <c r="B108">
        <f>B107+C107*(1+D107)*(1-E107)</f>
        <v>1103600.3036458385</v>
      </c>
      <c r="C108">
        <f t="shared" si="6"/>
        <v>220.7200607291677</v>
      </c>
      <c r="D108">
        <f t="shared" si="9"/>
        <v>55.180015182291925</v>
      </c>
      <c r="E108">
        <f>(B108*$K$3)/(10000+B108*$K$3)</f>
        <v>0.91691593987049613</v>
      </c>
      <c r="F108">
        <f>B108-B107</f>
        <v>1029.2234935788438</v>
      </c>
      <c r="G108">
        <f>F108-F107</f>
        <v>1.0225082896649837</v>
      </c>
      <c r="H108">
        <f t="shared" si="8"/>
        <v>1.0009334758657344</v>
      </c>
    </row>
    <row r="109" spans="1:8">
      <c r="A109">
        <f t="shared" si="7"/>
        <v>107</v>
      </c>
      <c r="B109">
        <f>B108+C108*(1+D108)*(1-E108)</f>
        <v>1104630.5506742948</v>
      </c>
      <c r="C109">
        <f t="shared" si="6"/>
        <v>220.92611013485899</v>
      </c>
      <c r="D109">
        <f t="shared" si="9"/>
        <v>55.23152753371474</v>
      </c>
      <c r="E109">
        <f>(B109*$K$3)/(10000+B109*$K$3)</f>
        <v>0.91698699659906124</v>
      </c>
      <c r="F109">
        <f>B109-B108</f>
        <v>1030.2470284563024</v>
      </c>
      <c r="G109">
        <f>F109-F108</f>
        <v>1.0235348774585873</v>
      </c>
      <c r="H109">
        <f t="shared" si="8"/>
        <v>1.0009335327518964</v>
      </c>
    </row>
    <row r="110" spans="1:8">
      <c r="A110">
        <f t="shared" si="7"/>
        <v>108</v>
      </c>
      <c r="B110">
        <f>B109+C109*(1+D109)*(1-E109)</f>
        <v>1105661.8222652413</v>
      </c>
      <c r="C110">
        <f t="shared" si="6"/>
        <v>221.13236445304824</v>
      </c>
      <c r="D110">
        <f t="shared" si="9"/>
        <v>55.283091113262067</v>
      </c>
      <c r="E110">
        <f>(B110*$K$3)/(10000+B110*$K$3)</f>
        <v>0.91705800237406843</v>
      </c>
      <c r="F110">
        <f>B110-B109</f>
        <v>1031.271590946475</v>
      </c>
      <c r="G110">
        <f>F110-F109</f>
        <v>1.0245624901726842</v>
      </c>
      <c r="H110">
        <f t="shared" si="8"/>
        <v>1.0009335895972793</v>
      </c>
    </row>
    <row r="111" spans="1:8">
      <c r="A111">
        <f t="shared" si="7"/>
        <v>109</v>
      </c>
      <c r="B111">
        <f>B110+C110*(1+D110)*(1-E110)</f>
        <v>1106694.1194473165</v>
      </c>
      <c r="C111">
        <f t="shared" si="6"/>
        <v>221.33882388946333</v>
      </c>
      <c r="D111">
        <f t="shared" si="9"/>
        <v>55.334705972365825</v>
      </c>
      <c r="E111">
        <f>(B111*$K$3)/(10000+B111*$K$3)</f>
        <v>0.91712895721593357</v>
      </c>
      <c r="F111">
        <f>B111-B110</f>
        <v>1032.2971820752136</v>
      </c>
      <c r="G111">
        <f>F111-F110</f>
        <v>1.025591128738597</v>
      </c>
      <c r="H111">
        <f t="shared" si="8"/>
        <v>1.0009336464018992</v>
      </c>
    </row>
    <row r="112" spans="1:8">
      <c r="A112">
        <f t="shared" si="7"/>
        <v>110</v>
      </c>
      <c r="B112">
        <f>B111+C111*(1+D111)*(1-E111)</f>
        <v>1107727.4432501865</v>
      </c>
      <c r="C112">
        <f t="shared" si="6"/>
        <v>221.5454886500373</v>
      </c>
      <c r="D112">
        <f t="shared" si="9"/>
        <v>55.386372162509325</v>
      </c>
      <c r="E112">
        <f>(B112*$K$3)/(10000+B112*$K$3)</f>
        <v>0.91719986114509078</v>
      </c>
      <c r="F112">
        <f>B112-B111</f>
        <v>1033.3238028699998</v>
      </c>
      <c r="G112">
        <f>F112-F111</f>
        <v>1.0266207947861403</v>
      </c>
      <c r="H112">
        <f t="shared" si="8"/>
        <v>1.0009337031657728</v>
      </c>
    </row>
    <row r="113" spans="1:8">
      <c r="A113">
        <f t="shared" si="7"/>
        <v>111</v>
      </c>
      <c r="B113">
        <f>B112+C112*(1+D112)*(1-E112)</f>
        <v>1108761.7947045451</v>
      </c>
      <c r="C113">
        <f t="shared" si="6"/>
        <v>221.75235894090901</v>
      </c>
      <c r="D113">
        <f t="shared" si="9"/>
        <v>55.438089735227251</v>
      </c>
      <c r="E113">
        <f>(B113*$K$3)/(10000+B113*$K$3)</f>
        <v>0.91727071418199246</v>
      </c>
      <c r="F113">
        <f>B113-B112</f>
        <v>1034.3514543585479</v>
      </c>
      <c r="G113">
        <f>F113-F112</f>
        <v>1.0276514885481447</v>
      </c>
      <c r="H113">
        <f t="shared" si="8"/>
        <v>1.0009337598889161</v>
      </c>
    </row>
    <row r="114" spans="1:8">
      <c r="A114">
        <f t="shared" si="7"/>
        <v>112</v>
      </c>
      <c r="B114">
        <f>B113+C113*(1+D113)*(1-E113)</f>
        <v>1109797.174842115</v>
      </c>
      <c r="C114">
        <f t="shared" si="6"/>
        <v>221.95943496842301</v>
      </c>
      <c r="D114">
        <f t="shared" si="9"/>
        <v>55.489858742105753</v>
      </c>
      <c r="E114">
        <f>(B114*$K$3)/(10000+B114*$K$3)</f>
        <v>0.91734151634710959</v>
      </c>
      <c r="F114">
        <f>B114-B113</f>
        <v>1035.3801375699695</v>
      </c>
      <c r="G114">
        <f>F114-F113</f>
        <v>1.028683211421594</v>
      </c>
      <c r="H114">
        <f t="shared" si="8"/>
        <v>1.0009338165713455</v>
      </c>
    </row>
    <row r="115" spans="1:8">
      <c r="A115">
        <f t="shared" si="7"/>
        <v>113</v>
      </c>
      <c r="B115">
        <f>B114+C114*(1+D114)*(1-E114)</f>
        <v>1110833.5846956493</v>
      </c>
      <c r="C115">
        <f t="shared" si="6"/>
        <v>222.16671693912988</v>
      </c>
      <c r="D115">
        <f t="shared" si="9"/>
        <v>55.541679234782464</v>
      </c>
      <c r="E115">
        <f>(B115*$K$3)/(10000+B115*$K$3)</f>
        <v>0.91741226766093076</v>
      </c>
      <c r="F115">
        <f>B115-B114</f>
        <v>1036.4098535343073</v>
      </c>
      <c r="G115">
        <f>F115-F114</f>
        <v>1.0297159643378109</v>
      </c>
      <c r="H115">
        <f t="shared" si="8"/>
        <v>1.0009338732130777</v>
      </c>
    </row>
    <row r="116" spans="1:8">
      <c r="A116">
        <f t="shared" si="7"/>
        <v>114</v>
      </c>
      <c r="B116">
        <f>B115+C115*(1+D115)*(1-E115)</f>
        <v>1111871.0252989321</v>
      </c>
      <c r="C116">
        <f t="shared" si="6"/>
        <v>222.37420505978645</v>
      </c>
      <c r="D116">
        <f t="shared" si="9"/>
        <v>55.593551264946605</v>
      </c>
      <c r="E116">
        <f>(B116*$K$3)/(10000+B116*$K$3)</f>
        <v>0.91748296814396313</v>
      </c>
      <c r="F116">
        <f>B116-B115</f>
        <v>1037.4406032827683</v>
      </c>
      <c r="G116">
        <f>F116-F115</f>
        <v>1.0307497484609485</v>
      </c>
      <c r="H116">
        <f t="shared" si="8"/>
        <v>1.0009339298141287</v>
      </c>
    </row>
    <row r="117" spans="1:8">
      <c r="A117">
        <f t="shared" si="7"/>
        <v>115</v>
      </c>
      <c r="B117">
        <f>B116+C116*(1+D116)*(1-E116)</f>
        <v>1112909.4976867796</v>
      </c>
      <c r="C117">
        <f t="shared" si="6"/>
        <v>222.58189953735592</v>
      </c>
      <c r="D117">
        <f t="shared" si="9"/>
        <v>55.645474884338981</v>
      </c>
      <c r="E117">
        <f>(B117*$K$3)/(10000+B117*$K$3)</f>
        <v>0.91755361781673184</v>
      </c>
      <c r="F117">
        <f>B117-B116</f>
        <v>1038.4723878474906</v>
      </c>
      <c r="G117">
        <f>F117-F116</f>
        <v>1.0317845647223294</v>
      </c>
      <c r="H117">
        <f t="shared" si="8"/>
        <v>1.0009339863745152</v>
      </c>
    </row>
    <row r="118" spans="1:8">
      <c r="A118">
        <f t="shared" si="7"/>
        <v>116</v>
      </c>
      <c r="B118">
        <f>B117+C117*(1+D117)*(1-E117)</f>
        <v>1113949.0028950411</v>
      </c>
      <c r="C118">
        <f t="shared" si="6"/>
        <v>222.78980057900822</v>
      </c>
      <c r="D118">
        <f t="shared" si="9"/>
        <v>55.697450144752054</v>
      </c>
      <c r="E118">
        <f>(B118*$K$3)/(10000+B118*$K$3)</f>
        <v>0.91762421669978</v>
      </c>
      <c r="F118">
        <f>B118-B117</f>
        <v>1039.5052082615439</v>
      </c>
      <c r="G118">
        <f>F118-F117</f>
        <v>1.0328204140532762</v>
      </c>
      <c r="H118">
        <f t="shared" si="8"/>
        <v>1.0009340428942535</v>
      </c>
    </row>
    <row r="119" spans="1:8">
      <c r="A119">
        <f t="shared" si="7"/>
        <v>117</v>
      </c>
      <c r="B119">
        <f>B118+C118*(1+D118)*(1-E118)</f>
        <v>1114989.5419606003</v>
      </c>
      <c r="C119">
        <f t="shared" si="6"/>
        <v>222.99790839212005</v>
      </c>
      <c r="D119">
        <f t="shared" si="9"/>
        <v>55.749477098030013</v>
      </c>
      <c r="E119">
        <f>(B119*$K$3)/(10000+B119*$K$3)</f>
        <v>0.91769476481366885</v>
      </c>
      <c r="F119">
        <f>B119-B118</f>
        <v>1040.5390655591618</v>
      </c>
      <c r="G119">
        <f>F119-F118</f>
        <v>1.0338572976179421</v>
      </c>
      <c r="H119">
        <f t="shared" si="8"/>
        <v>1.00093409937336</v>
      </c>
    </row>
    <row r="120" spans="1:8">
      <c r="A120">
        <f t="shared" si="7"/>
        <v>118</v>
      </c>
      <c r="B120">
        <f>B119+C119*(1+D119)*(1-E119)</f>
        <v>1116031.1159213758</v>
      </c>
      <c r="C120">
        <f t="shared" si="6"/>
        <v>223.20622318427516</v>
      </c>
      <c r="D120">
        <f t="shared" si="9"/>
        <v>55.80155579606879</v>
      </c>
      <c r="E120">
        <f>(B120*$K$3)/(10000+B120*$K$3)</f>
        <v>0.91776526217897736</v>
      </c>
      <c r="F120">
        <f>B120-B119</f>
        <v>1041.5739607755095</v>
      </c>
      <c r="G120">
        <f>F120-F119</f>
        <v>1.0348952163476497</v>
      </c>
      <c r="H120">
        <f t="shared" si="8"/>
        <v>1.000934155811851</v>
      </c>
    </row>
    <row r="121" spans="1:8">
      <c r="A121">
        <f t="shared" si="7"/>
        <v>119</v>
      </c>
      <c r="B121">
        <f>B120+C120*(1+D120)*(1-E120)</f>
        <v>1117073.725816323</v>
      </c>
      <c r="C121">
        <f t="shared" si="6"/>
        <v>223.4147451632646</v>
      </c>
      <c r="D121">
        <f t="shared" si="9"/>
        <v>55.85368629081615</v>
      </c>
      <c r="E121">
        <f>(B121*$K$3)/(10000+B121*$K$3)</f>
        <v>0.9178357088163025</v>
      </c>
      <c r="F121">
        <f>B121-B120</f>
        <v>1042.6098949471489</v>
      </c>
      <c r="G121">
        <f>F121-F120</f>
        <v>1.0359341716393828</v>
      </c>
      <c r="H121">
        <f t="shared" si="8"/>
        <v>1.0009342122097433</v>
      </c>
    </row>
    <row r="122" spans="1:8">
      <c r="A122">
        <f t="shared" si="7"/>
        <v>120</v>
      </c>
      <c r="B122">
        <f>B121+C121*(1+D121)*(1-E121)</f>
        <v>1118117.3726854341</v>
      </c>
      <c r="C122">
        <f t="shared" si="6"/>
        <v>223.62347453708682</v>
      </c>
      <c r="D122">
        <f t="shared" si="9"/>
        <v>55.905868634271705</v>
      </c>
      <c r="E122">
        <f>(B122*$K$3)/(10000+B122*$K$3)</f>
        <v>0.91790610474625922</v>
      </c>
      <c r="F122">
        <f>B122-B121</f>
        <v>1043.6468691111077</v>
      </c>
      <c r="G122">
        <f>F122-F121</f>
        <v>1.0369741639588028</v>
      </c>
      <c r="H122">
        <f t="shared" si="8"/>
        <v>1.000934268567053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Consalo, Kyle</dc:creator>
  <cp:lastModifiedBy>39IOS-Student062</cp:lastModifiedBy>
  <dcterms:created xsi:type="dcterms:W3CDTF">2025-11-10T15:06:18Z</dcterms:created>
  <dcterms:modified xsi:type="dcterms:W3CDTF">2025-11-13T19:51:21Z</dcterms:modified>
</cp:coreProperties>
</file>